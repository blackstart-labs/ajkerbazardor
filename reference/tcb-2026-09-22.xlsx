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price'!$A$1:$L$133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103" i="4" l="1"/>
  <c r="G92" i="4"/>
  <c r="I71" i="4" l="1"/>
  <c r="G101" i="4" l="1"/>
  <c r="G100" i="4"/>
  <c r="G96" i="4"/>
  <c r="G95" i="4"/>
  <c r="G94" i="4"/>
  <c r="G93" i="4"/>
  <c r="G105" i="4" l="1"/>
  <c r="G90" i="4"/>
  <c r="G102" i="4"/>
  <c r="G98" i="4"/>
  <c r="G99" i="4"/>
  <c r="G104" i="4"/>
  <c r="G97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<sst xmlns="http://schemas.openxmlformats.org/spreadsheetml/2006/main" count="268" uniqueCount="138">
  <si>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</si>
  <si>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</si>
  <si>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</si>
  <si>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</si>
  <si>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</si>
  <si>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</si>
  <si>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</si>
  <si>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</si>
  <si>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</si>
  <si>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</si>
  <si>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</si>
  <si>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</si>
  <si>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</si>
  <si>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</si>
  <si>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</si>
  <si>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</si>
  <si>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</si>
  <si>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</si>
  <si>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</si>
  <si>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</si>
  <si>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</si>
  <si>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</si>
  <si>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</si>
  <si>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</si>
  <si>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</si>
  <si>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</si>
  <si>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</si>
  <si>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</si>
  <si>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</si>
  <si>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</si>
  <si>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</si>
  <si>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</si>
  <si>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</si>
  <si>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</si>
  <si>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</si>
  <si>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</si>
  <si>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</si>
  <si>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</si>
  <si>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</si>
  <si>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</si>
  <si>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</si>
  <si>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</si>
  <si>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</si>
  <si>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</si>
  <si>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</si>
  <si>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</si>
  <si>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</si>
  <si>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</si>
  <si>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</si>
  <si>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</si>
  <si>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</si>
  <si>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</si>
  <si>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</si>
  <si>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</si>
  <si>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</si>
  <si>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</si>
  <si>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</si>
  <si>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</si>
  <si>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</si>
  <si>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</si>
  <si>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</si>
  <si>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</si>
  <si>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</si>
  <si>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</si>
  <si>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</si>
  <si>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</si>
  <si>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</si>
  <si>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</si>
  <si>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</si>
  <si>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</si>
  <si>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</si>
  <si>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</si>
  <si>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</si>
  <si>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</si>
  <si>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</si>
  <si>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</si>
  <si>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</si>
  <si>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</si>
  <si>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</si>
  <si>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</si>
  <si>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</si>
  <si>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</si>
  <si>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</si>
  <si>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</si>
  <si>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</si>
  <si>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</si>
  <si>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</si>
  <si>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</si>
  <si>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</si>
  <si>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</si>
  <si>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</si>
  <si>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</si>
  <si>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</si>
  <si>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</si>
  <si>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</si>
  <si>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</si>
  <si>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</si>
  <si>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</si>
  <si>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</si>
  <si>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</si>
  <si>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</si>
  <si>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</si>
  <si>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</si>
  <si>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</si>
  <si>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</si>
  <si>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</si>
  <si>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</si>
  <si>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</si>
  <si>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</si>
  <si>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</si>
  <si>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</si>
  <si>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</si>
  <si>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</si>
  <si>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</si>
  <si>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</si>
  <si>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</si>
  <si>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</si>
  <si>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</si>
  <si>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</si>
  <si>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</si>
  <si>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</si>
  <si>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</si>
  <si>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১৭-০৯-২০২৬ তারিখে মূল্য বৃদ্ধি পেয়েছে।</t>
  </si>
  <si>
    <t>১৯-০৯-২০২৬ তারিখে মূল্য বৃদ্ধি পেয়েছে।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</si>
  <si>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</si>
  <si>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</si>
  <si>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>(৩)  অন্যান্য পণ্যের মূল্য অপরিবর্তীত রয়েছে।</t>
  </si>
  <si>
    <t>২০-০৯-২০২৬ তারিখে মূল্য বৃদ্ধি পেয়েছে।</t>
  </si>
  <si>
    <t>(২)    আদা (আম)   এর মূল্য হ্রাস পেয়েছে।</t>
  </si>
  <si>
    <t>২০-০৯-২০২৬ তারিখে মূল্য হ্রাস পেয়েছে।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</si>
  <si>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২৩৫</t>
  </si>
  <si>
    <t>২১-০৯-২০২৬ তারিখে মূল্য বৃদ্ধি পেয়েছে।</t>
  </si>
  <si>
    <t xml:space="preserve">নং-২৬.০৫.০০০০.০১৭.৩১.০১.২৬-৭৪৪                                                                                                           তারিখঃ ২২-০৯-২০২৬ </t>
  </si>
  <si>
    <t xml:space="preserve">মঙ্গলবার ২২ সেপ্টেম্বর ২০২৬ খ্রিঃ, ০৭ আশ্বিন ১৪৩৩ বাংলা, ০৯ রবিউল সানি ১৪৪৮ হিজরি </t>
  </si>
  <si>
    <t>২২-০৯-২০২৬ তারিখে মূল্য বৃদ্ধি পেয়েছে।</t>
  </si>
  <si>
    <t xml:space="preserve">(১)    আটা (খোলা, প্যাঃ), ময়দা (খোলা, প্যাঃ), সয়াবিন তেল (১লি, ২লি, ৫লি বোতল), পাম অয়েল (লুজ, সুপার), মসুর ডাল (বড়), </t>
  </si>
  <si>
    <t xml:space="preserve">          ডিম, তেজপাতা, রশুন (আম), কাঁচামরিচ, বেগুন  এর মূল্য বৃদ্ধি পেয়েছে।</t>
  </si>
  <si>
    <t xml:space="preserve"> মিরপুর-৬, মোহাম্মদপুর টাউন হল, নিউমার্কেট, রামপুরা, মহাখালী  বাজার।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</si>
</sst>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8"/>
  <sheetViews>
    <sheetView tabSelected="1" topLeftCell="A58" zoomScale="106" zoomScaleNormal="106" workbookViewId="0">
      <selection activeCell="A68" sqref="A68:XFD69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78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8">
      <c r="A2" s="79" t="s">
        <v>116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8">
      <c r="A3" s="80" t="s">
        <v>130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8">
      <c r="A4" s="81" t="s">
        <v>133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P4" s="51"/>
      <c r="Q4" s="51"/>
      <c r="R4" s="51"/>
    </row>
    <row r="5" spans="1:18">
      <c r="A5" s="82" t="s">
        <v>132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P5" s="52"/>
      <c r="Q5" s="53"/>
    </row>
    <row r="6" spans="1:18" s="27" customFormat="1">
      <c r="A6" s="83" t="s">
        <v>1</v>
      </c>
      <c r="B6" s="83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84"/>
      <c r="B7" s="84"/>
      <c r="C7" s="87">
        <v>46287</v>
      </c>
      <c r="D7" s="88"/>
      <c r="E7" s="87">
        <v>46280</v>
      </c>
      <c r="F7" s="88"/>
      <c r="G7" s="87">
        <v>46256</v>
      </c>
      <c r="H7" s="88"/>
      <c r="I7" s="24" t="s">
        <v>9</v>
      </c>
      <c r="J7" s="85">
        <v>45922</v>
      </c>
      <c r="K7" s="86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>
      <c r="A12" s="43" t="s">
        <v>93</v>
      </c>
      <c r="B12" s="44" t="s">
        <v>14</v>
      </c>
      <c r="C12" s="37">
        <v>55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0</v>
      </c>
      <c r="J12" s="37">
        <v>60</v>
      </c>
      <c r="K12" s="37">
        <v>70</v>
      </c>
      <c r="L12" s="47">
        <f>((C12+D12)/2-(J12+K12)/2)/((J12+K12)/2)*100</f>
        <v>-7.6923076923076925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48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2.0408163265306123</v>
      </c>
    </row>
    <row r="16" spans="1:18" s="27" customFormat="1">
      <c r="A16" s="43" t="s">
        <v>18</v>
      </c>
      <c r="B16" s="44" t="s">
        <v>19</v>
      </c>
      <c r="C16" s="37">
        <v>60</v>
      </c>
      <c r="D16" s="37">
        <v>70</v>
      </c>
      <c r="E16" s="37">
        <v>60</v>
      </c>
      <c r="F16" s="37">
        <v>65</v>
      </c>
      <c r="G16" s="37">
        <v>60</v>
      </c>
      <c r="H16" s="37">
        <v>65</v>
      </c>
      <c r="I16" s="46">
        <f>((C16+D16)/2-(G16+H16)/2)/((G16+H16)/2)*100</f>
        <v>4</v>
      </c>
      <c r="J16" s="37">
        <v>55</v>
      </c>
      <c r="K16" s="37">
        <v>65</v>
      </c>
      <c r="L16" s="47">
        <f>((C16+D16)/2-(J16+K16)/2)/((J16+K16)/2)*100</f>
        <v>8.3333333333333321</v>
      </c>
      <c r="M16" s="49">
        <f t="shared" si="0"/>
        <v>4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65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3.7037037037037033</v>
      </c>
    </row>
    <row r="18" spans="1:13" s="27" customFormat="1">
      <c r="A18" s="43" t="s">
        <v>21</v>
      </c>
      <c r="B18" s="44" t="s">
        <v>19</v>
      </c>
      <c r="C18" s="37">
        <v>80</v>
      </c>
      <c r="D18" s="37">
        <v>90</v>
      </c>
      <c r="E18" s="37">
        <v>75</v>
      </c>
      <c r="F18" s="37">
        <v>85</v>
      </c>
      <c r="G18" s="37">
        <v>70</v>
      </c>
      <c r="H18" s="37">
        <v>75</v>
      </c>
      <c r="I18" s="46">
        <f>((C18+D18)/2-(G18+H18)/2)/((G18+H18)/2)*100</f>
        <v>17.241379310344829</v>
      </c>
      <c r="J18" s="37">
        <v>65</v>
      </c>
      <c r="K18" s="37">
        <v>75</v>
      </c>
      <c r="L18" s="47">
        <f>((C18+D18)/2-(J18+K18)/2)/((J18+K18)/2)*100</f>
        <v>21.428571428571427</v>
      </c>
      <c r="M18" s="49">
        <f t="shared" si="0"/>
        <v>6.25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186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0.79365079365079361</v>
      </c>
      <c r="J20" s="37">
        <v>170</v>
      </c>
      <c r="K20" s="37">
        <v>175</v>
      </c>
      <c r="L20" s="47">
        <f>((C20+D20)/2-(J20+K20)/2)/((J20+K20)/2)*100</f>
        <v>10.434782608695652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975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1.2658227848101267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398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378</v>
      </c>
      <c r="L22" s="47">
        <f t="shared" si="2"/>
        <v>8.897742363877823</v>
      </c>
      <c r="M22" s="49">
        <f t="shared" si="0"/>
        <v>1.4851485148514851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199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1.240694789081886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172</v>
      </c>
      <c r="E24" s="37">
        <v>166</v>
      </c>
      <c r="F24" s="37">
        <v>172</v>
      </c>
      <c r="G24" s="37">
        <v>165</v>
      </c>
      <c r="H24" s="37">
        <v>170</v>
      </c>
      <c r="I24" s="46">
        <f t="shared" si="1"/>
        <v>2.0895522388059704</v>
      </c>
      <c r="J24" s="37">
        <v>153</v>
      </c>
      <c r="K24" s="37">
        <v>160</v>
      </c>
      <c r="L24" s="47">
        <f t="shared" si="2"/>
        <v>9.2651757188498394</v>
      </c>
      <c r="M24" s="49">
        <f t="shared" si="0"/>
        <v>1.1834319526627219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178</v>
      </c>
      <c r="E25" s="37">
        <v>170</v>
      </c>
      <c r="F25" s="37">
        <v>175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165</v>
      </c>
      <c r="L25" s="47">
        <f t="shared" si="2"/>
        <v>9.375</v>
      </c>
      <c r="M25" s="49">
        <f t="shared" si="0"/>
        <v>1.4492753623188406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2.6315789473684208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110</v>
      </c>
      <c r="K29" s="37">
        <v>140</v>
      </c>
      <c r="L29" s="47">
        <f t="shared" si="4"/>
        <v>-6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55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5</v>
      </c>
      <c r="J36" s="37">
        <v>70</v>
      </c>
      <c r="K36" s="37">
        <v>80</v>
      </c>
      <c r="L36" s="47">
        <f t="shared" ref="L36:L50" si="6">((C36+D36)/2-(J36+K36)/2)/((J36+K36)/2)*100</f>
        <v>-30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180</v>
      </c>
      <c r="D39" s="37">
        <v>200</v>
      </c>
      <c r="E39" s="39">
        <v>160</v>
      </c>
      <c r="F39" s="37">
        <v>200</v>
      </c>
      <c r="G39" s="39">
        <v>140</v>
      </c>
      <c r="H39" s="37">
        <v>200</v>
      </c>
      <c r="I39" s="46">
        <f t="shared" si="5"/>
        <v>11.76470588235294</v>
      </c>
      <c r="J39" s="37">
        <v>130</v>
      </c>
      <c r="K39" s="37">
        <v>200</v>
      </c>
      <c r="L39" s="47">
        <f t="shared" si="6"/>
        <v>15.151515151515152</v>
      </c>
      <c r="M39" s="49">
        <f t="shared" si="0"/>
        <v>5.5555555555555554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430</v>
      </c>
      <c r="L41" s="47">
        <f t="shared" si="6"/>
        <v>10.666666666666668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170</v>
      </c>
      <c r="G45" s="37">
        <v>120</v>
      </c>
      <c r="H45" s="37">
        <v>170</v>
      </c>
      <c r="I45" s="46">
        <f t="shared" si="5"/>
        <v>-3.4482758620689653</v>
      </c>
      <c r="J45" s="37">
        <v>130</v>
      </c>
      <c r="K45" s="37">
        <v>220</v>
      </c>
      <c r="L45" s="47">
        <f t="shared" si="6"/>
        <v>-20</v>
      </c>
      <c r="M45" s="49">
        <f t="shared" si="0"/>
        <v>-3.4482758620689653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600</v>
      </c>
      <c r="H46" s="37">
        <v>650</v>
      </c>
      <c r="I46" s="46">
        <f t="shared" si="5"/>
        <v>-4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520</v>
      </c>
      <c r="H47" s="37">
        <v>600</v>
      </c>
      <c r="I47" s="46">
        <f t="shared" si="5"/>
        <v>-1.7857142857142856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1400</v>
      </c>
      <c r="H48" s="37">
        <v>1600</v>
      </c>
      <c r="I48" s="46">
        <f t="shared" si="5"/>
        <v>1.6666666666666667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190</v>
      </c>
      <c r="F51" s="37">
        <v>240</v>
      </c>
      <c r="G51" s="37">
        <v>200</v>
      </c>
      <c r="H51" s="37">
        <v>240</v>
      </c>
      <c r="I51" s="46">
        <f t="shared" si="5"/>
        <v>25</v>
      </c>
      <c r="J51" s="37">
        <v>200</v>
      </c>
      <c r="K51" s="37">
        <v>225</v>
      </c>
      <c r="L51" s="47">
        <f>((C51+D51)/2-(J51+K51)/2)/((J51+K51)/2)*100</f>
        <v>29.411764705882355</v>
      </c>
      <c r="M51" s="49">
        <f t="shared" si="0"/>
        <v>27.906976744186046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780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5.161290322580645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1250</v>
      </c>
      <c r="L56" s="47">
        <f t="shared" si="8"/>
        <v>13.333333333333334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185</v>
      </c>
      <c r="L57" s="47">
        <f t="shared" si="8"/>
        <v>7.042253521126761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830</v>
      </c>
      <c r="D60" s="37">
        <v>950</v>
      </c>
      <c r="E60" s="37">
        <v>830</v>
      </c>
      <c r="F60" s="37">
        <v>950</v>
      </c>
      <c r="G60" s="37">
        <v>900</v>
      </c>
      <c r="H60" s="37">
        <v>950</v>
      </c>
      <c r="I60" s="46">
        <f>((C60+D60)/2-(G60+H60)/2)/((G60+H60)/2)*100</f>
        <v>-3.7837837837837842</v>
      </c>
      <c r="J60" s="37">
        <v>720</v>
      </c>
      <c r="K60" s="37">
        <v>860</v>
      </c>
      <c r="L60" s="47">
        <f t="shared" si="8"/>
        <v>12.658227848101266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920</v>
      </c>
      <c r="H61" s="37">
        <v>930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910</v>
      </c>
      <c r="H62" s="37">
        <v>950</v>
      </c>
      <c r="I62" s="46">
        <f>((C62+D62)/2-(G62+H62)/2)/((G62+H62)/2)*100</f>
        <v>-2.1505376344086025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920</v>
      </c>
      <c r="H63" s="37">
        <v>960</v>
      </c>
      <c r="I63" s="46">
        <f>((C63+D63)/2-(G63+H63)/2)/((G63+H63)/2)*100</f>
        <v>-2.6595744680851063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9"/>
      <c r="B64" s="70"/>
      <c r="C64" s="56"/>
      <c r="D64" s="73"/>
      <c r="E64" s="56"/>
      <c r="F64" s="56"/>
      <c r="G64" s="73"/>
      <c r="H64" s="73"/>
      <c r="I64" s="71"/>
      <c r="J64" s="56"/>
      <c r="K64" s="56"/>
      <c r="L64" s="72"/>
      <c r="M64" s="49"/>
    </row>
    <row r="65" spans="1:13" s="48" customFormat="1" ht="25.5" customHeight="1">
      <c r="A65" s="69"/>
      <c r="B65" s="70"/>
      <c r="C65" s="56"/>
      <c r="D65" s="56"/>
      <c r="E65" s="56"/>
      <c r="F65" s="56"/>
      <c r="G65" s="56"/>
      <c r="H65" s="56"/>
      <c r="I65" s="71"/>
      <c r="J65" s="56"/>
      <c r="K65" s="56"/>
      <c r="L65" s="72"/>
      <c r="M65" s="49"/>
    </row>
    <row r="66" spans="1:13" s="48" customFormat="1" ht="25.5" customHeight="1">
      <c r="A66" s="69"/>
      <c r="B66" s="70"/>
      <c r="C66" s="56"/>
      <c r="D66" s="56"/>
      <c r="E66" s="3"/>
      <c r="F66" s="3"/>
      <c r="G66" s="56"/>
      <c r="H66" s="56"/>
      <c r="I66" s="71"/>
      <c r="J66" s="56"/>
      <c r="K66" s="56"/>
      <c r="L66" s="72"/>
      <c r="M66" s="49"/>
    </row>
    <row r="67" spans="1:13" s="48" customFormat="1" ht="25.5" customHeight="1">
      <c r="A67" s="69"/>
      <c r="B67" s="70"/>
      <c r="C67" s="56"/>
      <c r="D67" s="56"/>
      <c r="E67" s="3"/>
      <c r="F67" s="3"/>
      <c r="G67" s="56"/>
      <c r="H67" s="56"/>
      <c r="I67" s="71"/>
      <c r="J67" s="56"/>
      <c r="K67" s="56"/>
      <c r="L67" s="72"/>
      <c r="M67" s="49"/>
    </row>
    <row r="68" spans="1:13">
      <c r="A68" s="83" t="s">
        <v>1</v>
      </c>
      <c r="B68" s="83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84"/>
      <c r="B69" s="84"/>
      <c r="C69" s="87">
        <v>46287</v>
      </c>
      <c r="D69" s="88"/>
      <c r="E69" s="87">
        <v>46280</v>
      </c>
      <c r="F69" s="88"/>
      <c r="G69" s="87">
        <v>46256</v>
      </c>
      <c r="H69" s="88"/>
      <c r="I69" s="24" t="s">
        <v>9</v>
      </c>
      <c r="J69" s="85">
        <v>45922</v>
      </c>
      <c r="K69" s="86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4" t="s">
        <v>10</v>
      </c>
      <c r="K70" s="64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160</v>
      </c>
      <c r="E75" s="37">
        <v>80</v>
      </c>
      <c r="F75" s="37">
        <v>160</v>
      </c>
      <c r="G75" s="37">
        <v>120</v>
      </c>
      <c r="H75" s="37">
        <v>160</v>
      </c>
      <c r="I75" s="46">
        <f t="shared" si="10"/>
        <v>0</v>
      </c>
      <c r="J75" s="45">
        <v>180</v>
      </c>
      <c r="K75" s="45">
        <v>220</v>
      </c>
      <c r="L75" s="47">
        <f t="shared" si="9"/>
        <v>-30</v>
      </c>
      <c r="M75" s="49">
        <f t="shared" si="11"/>
        <v>16.666666666666664</v>
      </c>
    </row>
    <row r="76" spans="1:13" s="49" customFormat="1" ht="19.5">
      <c r="A76" s="43" t="s">
        <v>103</v>
      </c>
      <c r="B76" s="50" t="s">
        <v>14</v>
      </c>
      <c r="C76" s="37">
        <v>90</v>
      </c>
      <c r="D76" s="37">
        <v>120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50</v>
      </c>
      <c r="K76" s="45">
        <v>100</v>
      </c>
      <c r="L76" s="47">
        <f t="shared" si="9"/>
        <v>40</v>
      </c>
      <c r="M76" s="49">
        <f t="shared" si="11"/>
        <v>5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55</v>
      </c>
      <c r="E78" s="42">
        <v>48</v>
      </c>
      <c r="F78" s="42">
        <v>50</v>
      </c>
      <c r="G78" s="42">
        <v>48</v>
      </c>
      <c r="H78" s="42">
        <v>50</v>
      </c>
      <c r="I78" s="46">
        <f t="shared" si="10"/>
        <v>5.1020408163265305</v>
      </c>
      <c r="J78" s="42">
        <v>45</v>
      </c>
      <c r="K78" s="42">
        <v>50</v>
      </c>
      <c r="L78" s="47">
        <f>((C78+D78)/2-(J78+K78)/2)/((J78+K78)/2)*100</f>
        <v>8.4210526315789469</v>
      </c>
      <c r="M78" s="49">
        <f t="shared" si="11"/>
        <v>5.1020408163265305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42" customHeight="1">
      <c r="A82" s="90" t="s">
        <v>117</v>
      </c>
      <c r="B82" s="91"/>
      <c r="C82" s="89" t="s">
        <v>137</v>
      </c>
      <c r="D82" s="89"/>
      <c r="E82" s="89"/>
      <c r="F82" s="89"/>
      <c r="G82" s="89"/>
      <c r="H82" s="89"/>
      <c r="I82" s="89"/>
      <c r="J82" s="89"/>
      <c r="K82" s="89"/>
      <c r="L82" s="89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92" t="s">
        <v>135</v>
      </c>
      <c r="C84" s="92"/>
      <c r="D84" s="92"/>
      <c r="E84" s="92"/>
      <c r="F84" s="92"/>
      <c r="G84" s="92"/>
      <c r="H84" s="92"/>
      <c r="I84" s="92"/>
      <c r="J84" s="92"/>
      <c r="K84" s="92"/>
      <c r="L84" s="92"/>
    </row>
    <row r="85" spans="1:13">
      <c r="A85" s="67"/>
      <c r="B85" s="67" t="s">
        <v>136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3">
      <c r="A86" s="67"/>
      <c r="B86" s="92" t="s">
        <v>128</v>
      </c>
      <c r="C86" s="92"/>
      <c r="D86" s="92"/>
      <c r="E86" s="92"/>
      <c r="F86" s="92"/>
      <c r="G86" s="92"/>
      <c r="H86" s="92"/>
      <c r="I86" s="92"/>
      <c r="J86" s="92"/>
      <c r="K86" s="92"/>
      <c r="L86" s="92"/>
    </row>
    <row r="87" spans="1:13">
      <c r="A87" s="6"/>
      <c r="B87" s="6" t="s">
        <v>126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>
      <c r="A89" s="23" t="s">
        <v>76</v>
      </c>
      <c r="B89" s="24" t="s">
        <v>77</v>
      </c>
      <c r="C89" s="75" t="s">
        <v>3</v>
      </c>
      <c r="D89" s="77"/>
      <c r="E89" s="93" t="s">
        <v>78</v>
      </c>
      <c r="F89" s="94"/>
      <c r="G89" s="25" t="s">
        <v>9</v>
      </c>
      <c r="H89" s="75" t="s">
        <v>79</v>
      </c>
      <c r="I89" s="76"/>
      <c r="J89" s="77"/>
      <c r="K89" s="9"/>
      <c r="L89" s="2"/>
    </row>
    <row r="90" spans="1:13">
      <c r="A90" s="43" t="s">
        <v>17</v>
      </c>
      <c r="B90" s="44" t="s">
        <v>14</v>
      </c>
      <c r="C90" s="37">
        <v>50</v>
      </c>
      <c r="D90" s="37">
        <v>50</v>
      </c>
      <c r="E90" s="37">
        <v>48</v>
      </c>
      <c r="F90" s="37">
        <v>50</v>
      </c>
      <c r="G90" s="30">
        <f t="shared" ref="G90:G105" si="12">((C90+D90)/2-(E90+F90)/2)/((E90+F90)/2)*100</f>
        <v>2.0408163265306123</v>
      </c>
      <c r="H90" s="75" t="s">
        <v>127</v>
      </c>
      <c r="I90" s="76"/>
      <c r="J90" s="77"/>
      <c r="K90" s="9"/>
      <c r="L90" s="63"/>
    </row>
    <row r="91" spans="1:13">
      <c r="A91" s="43" t="s">
        <v>18</v>
      </c>
      <c r="B91" s="44" t="s">
        <v>19</v>
      </c>
      <c r="C91" s="37">
        <v>60</v>
      </c>
      <c r="D91" s="37">
        <v>70</v>
      </c>
      <c r="E91" s="37">
        <v>60</v>
      </c>
      <c r="F91" s="37">
        <v>65</v>
      </c>
      <c r="G91" s="30">
        <f t="shared" si="12"/>
        <v>4</v>
      </c>
      <c r="H91" s="75" t="s">
        <v>134</v>
      </c>
      <c r="I91" s="76"/>
      <c r="J91" s="77"/>
      <c r="K91" s="9"/>
      <c r="L91" s="74"/>
    </row>
    <row r="92" spans="1:13">
      <c r="A92" s="43" t="s">
        <v>20</v>
      </c>
      <c r="B92" s="44" t="s">
        <v>14</v>
      </c>
      <c r="C92" s="37">
        <v>70</v>
      </c>
      <c r="D92" s="37">
        <v>70</v>
      </c>
      <c r="E92" s="37">
        <v>65</v>
      </c>
      <c r="F92" s="37">
        <v>70</v>
      </c>
      <c r="G92" s="30">
        <f t="shared" si="12"/>
        <v>3.7037037037037033</v>
      </c>
      <c r="H92" s="75" t="s">
        <v>131</v>
      </c>
      <c r="I92" s="76"/>
      <c r="J92" s="77"/>
      <c r="K92" s="9"/>
      <c r="L92" s="68"/>
    </row>
    <row r="93" spans="1:13">
      <c r="A93" s="43" t="s">
        <v>21</v>
      </c>
      <c r="B93" s="44" t="s">
        <v>19</v>
      </c>
      <c r="C93" s="37">
        <v>80</v>
      </c>
      <c r="D93" s="37">
        <v>90</v>
      </c>
      <c r="E93" s="37">
        <v>75</v>
      </c>
      <c r="F93" s="37">
        <v>85</v>
      </c>
      <c r="G93" s="30">
        <f t="shared" si="12"/>
        <v>6.25</v>
      </c>
      <c r="H93" s="75" t="s">
        <v>131</v>
      </c>
      <c r="I93" s="76"/>
      <c r="J93" s="77"/>
      <c r="K93" s="9"/>
      <c r="L93" s="66"/>
    </row>
    <row r="94" spans="1:13">
      <c r="A94" s="43" t="s">
        <v>25</v>
      </c>
      <c r="B94" s="44" t="s">
        <v>26</v>
      </c>
      <c r="C94" s="37">
        <v>1000</v>
      </c>
      <c r="D94" s="37">
        <v>1000</v>
      </c>
      <c r="E94" s="37">
        <v>975</v>
      </c>
      <c r="F94" s="37">
        <v>1000</v>
      </c>
      <c r="G94" s="30">
        <f t="shared" si="12"/>
        <v>1.2658227848101267</v>
      </c>
      <c r="H94" s="75" t="s">
        <v>127</v>
      </c>
      <c r="I94" s="76"/>
      <c r="J94" s="77"/>
      <c r="K94" s="9"/>
      <c r="L94" s="66"/>
    </row>
    <row r="95" spans="1:13">
      <c r="A95" s="43" t="s">
        <v>25</v>
      </c>
      <c r="B95" s="44" t="s">
        <v>27</v>
      </c>
      <c r="C95" s="37">
        <v>410</v>
      </c>
      <c r="D95" s="37">
        <v>410</v>
      </c>
      <c r="E95" s="37">
        <v>398</v>
      </c>
      <c r="F95" s="37">
        <v>410</v>
      </c>
      <c r="G95" s="30">
        <f t="shared" si="12"/>
        <v>1.4851485148514851</v>
      </c>
      <c r="H95" s="75" t="s">
        <v>127</v>
      </c>
      <c r="I95" s="76"/>
      <c r="J95" s="77"/>
      <c r="K95" s="9"/>
      <c r="L95" s="66"/>
    </row>
    <row r="96" spans="1:13">
      <c r="A96" s="43" t="s">
        <v>25</v>
      </c>
      <c r="B96" s="44" t="s">
        <v>28</v>
      </c>
      <c r="C96" s="37">
        <v>204</v>
      </c>
      <c r="D96" s="37">
        <v>204</v>
      </c>
      <c r="E96" s="37">
        <v>199</v>
      </c>
      <c r="F96" s="37">
        <v>204</v>
      </c>
      <c r="G96" s="30">
        <f t="shared" si="12"/>
        <v>1.240694789081886</v>
      </c>
      <c r="H96" s="75" t="s">
        <v>127</v>
      </c>
      <c r="I96" s="76"/>
      <c r="J96" s="77"/>
      <c r="K96" s="9"/>
      <c r="L96" s="66"/>
    </row>
    <row r="97" spans="1:12">
      <c r="A97" s="43" t="s">
        <v>29</v>
      </c>
      <c r="B97" s="44" t="s">
        <v>24</v>
      </c>
      <c r="C97" s="37">
        <v>170</v>
      </c>
      <c r="D97" s="37">
        <v>172</v>
      </c>
      <c r="E97" s="37">
        <v>166</v>
      </c>
      <c r="F97" s="37">
        <v>172</v>
      </c>
      <c r="G97" s="30">
        <f t="shared" si="12"/>
        <v>1.1834319526627219</v>
      </c>
      <c r="H97" s="75" t="s">
        <v>123</v>
      </c>
      <c r="I97" s="76"/>
      <c r="J97" s="77"/>
      <c r="K97" s="9"/>
      <c r="L97" s="2"/>
    </row>
    <row r="98" spans="1:12">
      <c r="A98" s="43" t="s">
        <v>94</v>
      </c>
      <c r="B98" s="44" t="s">
        <v>24</v>
      </c>
      <c r="C98" s="37">
        <v>172</v>
      </c>
      <c r="D98" s="37">
        <v>178</v>
      </c>
      <c r="E98" s="37">
        <v>170</v>
      </c>
      <c r="F98" s="37">
        <v>175</v>
      </c>
      <c r="G98" s="30">
        <f t="shared" si="12"/>
        <v>1.4492753623188406</v>
      </c>
      <c r="H98" s="75" t="s">
        <v>125</v>
      </c>
      <c r="I98" s="76"/>
      <c r="J98" s="77"/>
      <c r="K98" s="9"/>
      <c r="L98" s="62"/>
    </row>
    <row r="99" spans="1:12">
      <c r="A99" s="43" t="s">
        <v>33</v>
      </c>
      <c r="B99" s="44" t="s">
        <v>14</v>
      </c>
      <c r="C99" s="37">
        <v>95</v>
      </c>
      <c r="D99" s="37">
        <v>100</v>
      </c>
      <c r="E99" s="37">
        <v>90</v>
      </c>
      <c r="F99" s="37">
        <v>100</v>
      </c>
      <c r="G99" s="30">
        <f t="shared" si="12"/>
        <v>2.6315789473684208</v>
      </c>
      <c r="H99" s="75" t="s">
        <v>124</v>
      </c>
      <c r="I99" s="76"/>
      <c r="J99" s="77"/>
      <c r="K99" s="9"/>
      <c r="L99" s="2"/>
    </row>
    <row r="100" spans="1:12">
      <c r="A100" s="43" t="s">
        <v>41</v>
      </c>
      <c r="B100" s="44" t="s">
        <v>14</v>
      </c>
      <c r="C100" s="39">
        <v>180</v>
      </c>
      <c r="D100" s="37">
        <v>200</v>
      </c>
      <c r="E100" s="39">
        <v>160</v>
      </c>
      <c r="F100" s="37">
        <v>200</v>
      </c>
      <c r="G100" s="30">
        <f t="shared" si="12"/>
        <v>5.5555555555555554</v>
      </c>
      <c r="H100" s="75" t="s">
        <v>127</v>
      </c>
      <c r="I100" s="76"/>
      <c r="J100" s="77"/>
      <c r="K100" s="9"/>
      <c r="L100" s="66"/>
    </row>
    <row r="101" spans="1:12">
      <c r="A101" s="43" t="s">
        <v>47</v>
      </c>
      <c r="B101" s="44" t="s">
        <v>14</v>
      </c>
      <c r="C101" s="37">
        <v>120</v>
      </c>
      <c r="D101" s="37">
        <v>160</v>
      </c>
      <c r="E101" s="37">
        <v>120</v>
      </c>
      <c r="F101" s="37">
        <v>170</v>
      </c>
      <c r="G101" s="30">
        <f t="shared" si="12"/>
        <v>-3.4482758620689653</v>
      </c>
      <c r="H101" s="75" t="s">
        <v>129</v>
      </c>
      <c r="I101" s="76"/>
      <c r="J101" s="77"/>
      <c r="K101" s="9"/>
      <c r="L101" s="66"/>
    </row>
    <row r="102" spans="1:12">
      <c r="A102" s="43" t="s">
        <v>53</v>
      </c>
      <c r="B102" s="44" t="s">
        <v>14</v>
      </c>
      <c r="C102" s="37">
        <v>250</v>
      </c>
      <c r="D102" s="37">
        <v>300</v>
      </c>
      <c r="E102" s="37">
        <v>190</v>
      </c>
      <c r="F102" s="37">
        <v>240</v>
      </c>
      <c r="G102" s="30">
        <f t="shared" si="12"/>
        <v>27.906976744186046</v>
      </c>
      <c r="H102" s="75" t="s">
        <v>122</v>
      </c>
      <c r="I102" s="76"/>
      <c r="J102" s="77"/>
      <c r="K102" s="9"/>
      <c r="L102" s="63"/>
    </row>
    <row r="103" spans="1:12">
      <c r="A103" s="43" t="s">
        <v>102</v>
      </c>
      <c r="B103" s="50" t="s">
        <v>14</v>
      </c>
      <c r="C103" s="37">
        <v>120</v>
      </c>
      <c r="D103" s="37">
        <v>160</v>
      </c>
      <c r="E103" s="37">
        <v>80</v>
      </c>
      <c r="F103" s="37">
        <v>160</v>
      </c>
      <c r="G103" s="30">
        <f t="shared" si="12"/>
        <v>16.666666666666664</v>
      </c>
      <c r="H103" s="75" t="s">
        <v>131</v>
      </c>
      <c r="I103" s="76"/>
      <c r="J103" s="77"/>
      <c r="K103" s="9"/>
      <c r="L103" s="68"/>
    </row>
    <row r="104" spans="1:12">
      <c r="A104" s="43" t="s">
        <v>103</v>
      </c>
      <c r="B104" s="50" t="s">
        <v>14</v>
      </c>
      <c r="C104" s="37">
        <v>90</v>
      </c>
      <c r="D104" s="37">
        <v>120</v>
      </c>
      <c r="E104" s="37">
        <v>80</v>
      </c>
      <c r="F104" s="37">
        <v>120</v>
      </c>
      <c r="G104" s="30">
        <f t="shared" si="12"/>
        <v>5</v>
      </c>
      <c r="H104" s="75" t="s">
        <v>123</v>
      </c>
      <c r="I104" s="76"/>
      <c r="J104" s="77"/>
      <c r="K104" s="9"/>
      <c r="L104" s="2"/>
    </row>
    <row r="105" spans="1:12">
      <c r="A105" s="43" t="s">
        <v>68</v>
      </c>
      <c r="B105" s="44" t="s">
        <v>69</v>
      </c>
      <c r="C105" s="42">
        <v>48</v>
      </c>
      <c r="D105" s="42">
        <v>55</v>
      </c>
      <c r="E105" s="42">
        <v>48</v>
      </c>
      <c r="F105" s="42">
        <v>50</v>
      </c>
      <c r="G105" s="30">
        <f t="shared" si="12"/>
        <v>5.1020408163265305</v>
      </c>
      <c r="H105" s="75" t="s">
        <v>123</v>
      </c>
      <c r="I105" s="76"/>
      <c r="J105" s="77"/>
      <c r="K105" s="9"/>
      <c r="L105" s="65"/>
    </row>
    <row r="106" spans="1:12">
      <c r="A106" s="54"/>
      <c r="B106" s="61"/>
      <c r="C106" s="56"/>
      <c r="D106" s="56"/>
      <c r="E106" s="56"/>
      <c r="F106" s="56"/>
      <c r="G106" s="58"/>
      <c r="H106" s="59"/>
      <c r="I106" s="59"/>
      <c r="J106" s="59"/>
      <c r="K106" s="9"/>
      <c r="L106" s="2"/>
    </row>
    <row r="107" spans="1:12">
      <c r="A107" s="54"/>
      <c r="B107" s="55"/>
      <c r="C107" s="56"/>
      <c r="D107" s="57"/>
      <c r="E107" s="56"/>
      <c r="F107" s="57"/>
      <c r="G107" s="58"/>
      <c r="H107" s="6"/>
      <c r="I107" s="1"/>
      <c r="J107" s="1"/>
      <c r="K107" s="9"/>
      <c r="L107" s="11"/>
    </row>
    <row r="108" spans="1:12">
      <c r="A108" s="6"/>
      <c r="B108" s="12"/>
      <c r="C108" s="3"/>
      <c r="D108" s="3"/>
      <c r="E108" s="3"/>
      <c r="F108" s="3"/>
      <c r="G108" s="4"/>
      <c r="H108" s="6"/>
      <c r="I108" s="1"/>
      <c r="J108" s="1"/>
      <c r="K108" s="11"/>
      <c r="L108" s="11"/>
    </row>
    <row r="109" spans="1:12">
      <c r="A109" s="6"/>
      <c r="B109" s="13" t="s">
        <v>110</v>
      </c>
      <c r="C109" s="2"/>
      <c r="E109" s="6"/>
      <c r="F109" s="13" t="s">
        <v>119</v>
      </c>
      <c r="G109" s="2"/>
      <c r="I109" s="14"/>
      <c r="J109" s="1"/>
      <c r="K109" s="2"/>
      <c r="L109" s="11"/>
    </row>
    <row r="110" spans="1:12">
      <c r="A110" s="15"/>
      <c r="B110" s="13" t="s">
        <v>109</v>
      </c>
      <c r="C110" s="1"/>
      <c r="E110" s="15"/>
      <c r="F110" s="13" t="s">
        <v>120</v>
      </c>
      <c r="G110" s="1"/>
      <c r="I110" s="2"/>
      <c r="J110" s="1"/>
      <c r="L110" s="11"/>
    </row>
    <row r="111" spans="1:12">
      <c r="A111" s="6"/>
      <c r="C111" s="5"/>
      <c r="D111" s="5"/>
      <c r="E111" s="1"/>
      <c r="F111" s="5"/>
      <c r="G111" s="4"/>
      <c r="H111" s="16"/>
      <c r="I111" s="11"/>
      <c r="J111" s="11"/>
      <c r="K111" s="11"/>
      <c r="L111" s="11"/>
    </row>
    <row r="112" spans="1:12">
      <c r="A112" s="17" t="s">
        <v>86</v>
      </c>
      <c r="B112" s="18"/>
      <c r="C112" s="19"/>
      <c r="D112" s="18"/>
      <c r="E112" s="19"/>
      <c r="F112" s="19"/>
      <c r="G112" s="19"/>
      <c r="H112" s="20"/>
      <c r="I112" s="2"/>
      <c r="J112" s="2"/>
      <c r="K112" s="2"/>
      <c r="L112" s="2"/>
    </row>
    <row r="113" spans="1:12">
      <c r="A113" s="21" t="s">
        <v>111</v>
      </c>
      <c r="B113" s="18"/>
      <c r="C113" s="19"/>
      <c r="D113" s="18"/>
      <c r="E113" s="19"/>
      <c r="F113" s="19"/>
      <c r="G113" s="18"/>
      <c r="H113" s="20"/>
      <c r="I113" s="2"/>
      <c r="J113" s="2"/>
      <c r="K113" s="2"/>
      <c r="L113" s="2"/>
    </row>
    <row r="114" spans="1:12">
      <c r="A114" s="21" t="s">
        <v>105</v>
      </c>
      <c r="B114" s="18"/>
      <c r="C114" s="18"/>
      <c r="D114" s="18"/>
      <c r="E114" s="18"/>
      <c r="F114" s="19"/>
      <c r="G114" s="18"/>
      <c r="H114" s="20"/>
      <c r="I114" s="2"/>
      <c r="J114" s="2"/>
      <c r="K114" s="2"/>
      <c r="L114" s="2"/>
    </row>
    <row r="115" spans="1:12">
      <c r="A115" s="21" t="s">
        <v>80</v>
      </c>
      <c r="B115" s="18"/>
      <c r="C115" s="18"/>
      <c r="D115" s="18"/>
      <c r="E115" s="18"/>
      <c r="F115" s="20"/>
      <c r="G115" s="20"/>
      <c r="H115" s="20"/>
      <c r="I115" s="2"/>
      <c r="J115" s="2"/>
      <c r="K115" s="2"/>
      <c r="L115" s="2"/>
    </row>
    <row r="116" spans="1:12">
      <c r="A116" s="21" t="s">
        <v>106</v>
      </c>
      <c r="B116" s="18"/>
      <c r="C116" s="18"/>
      <c r="D116" s="18"/>
      <c r="E116" s="18"/>
      <c r="F116" s="18"/>
      <c r="G116" s="20"/>
      <c r="H116" s="20"/>
      <c r="I116" s="2"/>
      <c r="J116" s="2"/>
      <c r="K116" s="2"/>
      <c r="L116" s="2"/>
    </row>
    <row r="117" spans="1:12">
      <c r="A117" s="21" t="s">
        <v>89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95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88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87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81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90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>
      <c r="A123" s="21" t="s">
        <v>112</v>
      </c>
      <c r="B123" s="18"/>
      <c r="C123" s="18"/>
      <c r="D123" s="18"/>
      <c r="E123" s="18"/>
      <c r="F123" s="18"/>
      <c r="G123" s="18"/>
      <c r="H123" s="20"/>
      <c r="I123" s="2"/>
      <c r="J123" s="2"/>
      <c r="K123" s="2"/>
      <c r="L123" s="2"/>
    </row>
    <row r="124" spans="1:12">
      <c r="A124" s="21" t="s">
        <v>91</v>
      </c>
      <c r="B124" s="18"/>
      <c r="C124" s="18"/>
      <c r="D124" s="18"/>
      <c r="E124" s="18"/>
      <c r="F124" s="18"/>
      <c r="G124" s="18"/>
      <c r="H124" s="20"/>
      <c r="I124" s="2"/>
      <c r="J124" s="2"/>
      <c r="K124" s="2"/>
      <c r="L124" s="2"/>
    </row>
    <row r="125" spans="1:12">
      <c r="A125" s="21" t="s">
        <v>92</v>
      </c>
      <c r="B125" s="18"/>
      <c r="C125" s="18"/>
      <c r="D125" s="18"/>
      <c r="E125" s="18"/>
      <c r="F125" s="18"/>
      <c r="G125" s="18"/>
      <c r="H125" s="20"/>
      <c r="I125" s="2"/>
      <c r="J125" s="2"/>
      <c r="K125" s="2"/>
      <c r="L125" s="2"/>
    </row>
    <row r="126" spans="1:12">
      <c r="A126" s="21" t="s">
        <v>107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/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17" t="s">
        <v>82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>
      <c r="A129" s="21" t="s">
        <v>83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130" spans="1:12">
      <c r="A130" s="21" t="s">
        <v>113</v>
      </c>
      <c r="B130" s="18"/>
      <c r="C130" s="18"/>
      <c r="D130" s="18"/>
      <c r="E130" s="18"/>
      <c r="F130" s="18"/>
      <c r="G130" s="18"/>
      <c r="H130" s="22"/>
      <c r="I130" s="11"/>
      <c r="J130" s="11"/>
      <c r="K130" s="11"/>
      <c r="L130" s="11"/>
    </row>
    <row r="131" spans="1:12">
      <c r="A131" s="21" t="s">
        <v>114</v>
      </c>
      <c r="B131" s="18"/>
      <c r="C131" s="18"/>
      <c r="D131" s="18"/>
      <c r="E131" s="18"/>
      <c r="F131" s="18"/>
      <c r="G131" s="18"/>
      <c r="H131" s="22"/>
      <c r="I131" s="11"/>
      <c r="J131" s="11"/>
      <c r="K131" s="11"/>
      <c r="L131" s="11"/>
    </row>
    <row r="132" spans="1:12">
      <c r="A132" s="21" t="s">
        <v>99</v>
      </c>
      <c r="B132" s="18"/>
      <c r="C132" s="18"/>
      <c r="D132" s="18"/>
      <c r="E132" s="18"/>
      <c r="F132" s="18"/>
      <c r="G132" s="18"/>
      <c r="H132" s="22"/>
      <c r="I132" s="11"/>
      <c r="J132" s="11"/>
      <c r="K132" s="11"/>
      <c r="L132" s="11"/>
    </row>
    <row r="448" spans="2:2">
      <c r="B448" s="10" t="s">
        <v>108</v>
      </c>
    </row>
  </sheetData>
  <mergeCells count="48">
    <mergeCell ref="H91:J91"/>
    <mergeCell ref="H103:J103"/>
    <mergeCell ref="H99:J99"/>
    <mergeCell ref="C82:L82"/>
    <mergeCell ref="A82:B82"/>
    <mergeCell ref="B84:L84"/>
    <mergeCell ref="H96:J96"/>
    <mergeCell ref="C89:D89"/>
    <mergeCell ref="E89:F89"/>
    <mergeCell ref="H89:J89"/>
    <mergeCell ref="H97:J97"/>
    <mergeCell ref="H102:J102"/>
    <mergeCell ref="H90:J90"/>
    <mergeCell ref="H104:J104"/>
    <mergeCell ref="H98:J98"/>
    <mergeCell ref="B86:L8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105:J10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2:J92"/>
    <mergeCell ref="H94:J94"/>
    <mergeCell ref="H95:J95"/>
    <mergeCell ref="H93:J93"/>
    <mergeCell ref="H101:J101"/>
    <mergeCell ref="H100:J10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2026-09-22T08:17:16Z</cp:lastPrinted>
  <dcterms:created xsi:type="dcterms:W3CDTF">2021-06-05T07:13:00Z</dcterms:created>
  <dcterms:modified xsi:type="dcterms:W3CDTF">2026-09-22T08:17:17Z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