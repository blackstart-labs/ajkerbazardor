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4" l="1"/>
  <c r="G89" i="4" l="1"/>
  <c r="G99" i="4"/>
  <c r="G98" i="4" l="1"/>
  <c r="G97" i="4"/>
  <c r="G96" i="4"/>
  <c r="G93" i="4"/>
  <c r="G90" i="4"/>
  <c r="G91" i="4"/>
  <c r="I71" i="4"/>
  <c r="G92" i="4"/>
  <c r="G100" i="4"/>
  <c r="G94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<sst xmlns="http://schemas.openxmlformats.org/spreadsheetml/2006/main" count="255" uniqueCount="139">
  <si>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</si>
  <si>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</si>
  <si>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</si>
  <si>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</si>
  <si>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</si>
  <si>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</si>
  <si>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</si>
  <si>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</si>
  <si>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</si>
  <si>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</si>
  <si>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</si>
  <si>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</si>
  <si>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</si>
  <si>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</si>
  <si>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</si>
  <si>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</si>
  <si>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</si>
  <si>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</si>
  <si>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</si>
  <si>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</si>
  <si>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</si>
  <si>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</si>
  <si>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</si>
  <si>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</si>
  <si>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</si>
  <si>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</si>
  <si>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</si>
  <si>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</si>
  <si>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</si>
  <si>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</si>
  <si>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</si>
  <si>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</si>
  <si>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</si>
  <si>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</si>
  <si>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</si>
  <si>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</si>
  <si>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</si>
  <si>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</si>
  <si>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</si>
  <si>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</si>
  <si>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</si>
  <si>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</si>
  <si>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</si>
  <si>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</si>
  <si>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</si>
  <si>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</si>
  <si>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</si>
  <si>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</si>
  <si>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</si>
  <si>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</si>
  <si>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</si>
  <si>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</si>
  <si>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</si>
  <si>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</si>
  <si>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</si>
  <si>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</si>
  <si>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</si>
  <si>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</si>
  <si>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</si>
  <si>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</si>
  <si>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</si>
  <si>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</si>
  <si>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</si>
  <si>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</si>
  <si>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</si>
  <si>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</si>
  <si>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</si>
  <si>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</si>
  <si>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</si>
  <si>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</si>
  <si>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</si>
  <si>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</si>
  <si>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</si>
  <si>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</si>
  <si>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</si>
  <si>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</si>
  <si>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</si>
  <si>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</si>
  <si>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</si>
  <si>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</si>
  <si>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</si>
  <si>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</si>
  <si>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</si>
  <si>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</si>
  <si>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</si>
  <si>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</si>
  <si>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</si>
  <si>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</si>
  <si>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</si>
  <si>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</si>
  <si>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</si>
  <si>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</si>
  <si>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</si>
  <si>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</si>
  <si>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</si>
  <si>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</si>
  <si>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</si>
  <si>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</si>
  <si>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</si>
  <si>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</si>
  <si>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</si>
  <si>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</si>
  <si>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</si>
  <si>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</si>
  <si>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</si>
  <si>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</si>
  <si>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</si>
  <si>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</si>
  <si>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</si>
  <si>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</si>
  <si>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</si>
  <si>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</si>
  <si>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</si>
  <si>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</si>
  <si>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</si>
  <si>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</si>
  <si>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</si>
  <si>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</si>
  <si>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</si>
  <si>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</si>
  <si>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</si>
  <si>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</si>
  <si>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</si>
  <si>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>২১-০৯-২০২৬ তারিখে মূল্য বৃদ্ধি পেয়েছে।</t>
  </si>
  <si>
    <t>২২-০৯-২০২৬ তারিখে মূল্য বৃদ্ধি পেয়েছে।</t>
  </si>
  <si>
    <t>২৪-০৯-২০২৬ তারিখে মূল্য বৃদ্ধি পেয়েছে।</t>
  </si>
  <si>
    <t>২৫-০৯-২০২৬ তারিখে মূল্য হ্রাস পেয়েছে।</t>
  </si>
  <si>
    <t>২৫-০৯-২০২৬ তারিখে মূল্য বৃদ্ধি পেয়েছে।</t>
  </si>
  <si>
    <t>২৭-০৯-২০২৬ তারিখে মূল্য বৃদ্ধি পেয়েছে।</t>
  </si>
  <si>
    <t>২৭-০৯-২০২৬ তারিখে মূল্য হ্রাস পেয়েছে।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</si>
  <si>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</si>
  <si>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২৮-০৯-২০২৬ তারিখে মূল্য বৃদ্ধি পেয়েছে।</t>
  </si>
  <si>
    <t>২৮-০৯-২০২৬ তারিখে মূল্য হ্রাস পেয়েছে।</t>
  </si>
  <si>
    <t>(২)    পেঁয়াজ (দেশী), রসুন (আম), মুরগী ব্রয়লার, বেগুন   এর মূল্য হ্রাস পেয়েছে।</t>
  </si>
  <si>
    <t xml:space="preserve">নং-২৬.০৫.০০০০.০১৭.৩১.০১.২৬-৭৭১                                                                                                           তারিখঃ ৩০-০৯-২০২৬ </t>
  </si>
  <si>
    <t xml:space="preserve">বুধবার ৩০ সেপ্টেম্বর ২০২৬ খ্রিঃ, ১৫ আশ্বিন ১৪৩৩ বাংলা, ১৯ রবিউল সানি ১৪৪৮ হিজরি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</si>
  <si>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২৪৩</t>
  </si>
  <si>
    <t>৩০-০৯-২০২৬ তারিখে মূল্য বৃদ্ধি পেয়েছে।</t>
  </si>
  <si>
    <t>(১)    চাল (সরু, মাঝারী), আটা (প্যাঃ), ময়দা (প্যাঃ), সয়াবিন তেল (লুজ), পাম অয়েল (লুজ, সুপার),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</si>
</sst>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3"/>
  <sheetViews>
    <sheetView tabSelected="1" topLeftCell="A82" zoomScaleNormal="100" workbookViewId="0">
      <selection activeCell="C90" sqref="C90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3" t="s">
        <v>115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>
      <c r="A2" s="84" t="s">
        <v>116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8">
      <c r="A3" s="85" t="s">
        <v>136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>
      <c r="A4" s="86" t="s">
        <v>135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P4" s="51"/>
      <c r="Q4" s="51"/>
      <c r="R4" s="51"/>
    </row>
    <row r="5" spans="1:18">
      <c r="A5" s="87" t="s">
        <v>134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P5" s="52"/>
      <c r="Q5" s="53"/>
    </row>
    <row r="6" spans="1:18" s="27" customFormat="1">
      <c r="A6" s="88" t="s">
        <v>1</v>
      </c>
      <c r="B6" s="88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>
      <c r="A7" s="89"/>
      <c r="B7" s="89"/>
      <c r="C7" s="92">
        <v>46295</v>
      </c>
      <c r="D7" s="93"/>
      <c r="E7" s="92">
        <v>46288</v>
      </c>
      <c r="F7" s="93"/>
      <c r="G7" s="92">
        <v>46264</v>
      </c>
      <c r="H7" s="93"/>
      <c r="I7" s="24" t="s">
        <v>9</v>
      </c>
      <c r="J7" s="90">
        <v>45930</v>
      </c>
      <c r="K7" s="91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72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1.2903225806451613</v>
      </c>
      <c r="J11" s="37">
        <v>75</v>
      </c>
      <c r="K11" s="37">
        <v>85</v>
      </c>
      <c r="L11" s="47">
        <f>((C11+D11)/2-(J11+K11)/2)/((J11+K11)/2)*100</f>
        <v>-1.875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2.5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60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3.8461538461538463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80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2.9411764705882351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195</v>
      </c>
      <c r="E20" s="39">
        <v>186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1.0498687664041995</v>
      </c>
      <c r="J20" s="37">
        <v>170</v>
      </c>
      <c r="K20" s="37">
        <v>178</v>
      </c>
      <c r="L20" s="47">
        <f>((C20+D20)/2-(J20+K20)/2)/((J20+K20)/2)*100</f>
        <v>10.632183908045976</v>
      </c>
      <c r="M20" s="49">
        <f t="shared" si="0"/>
        <v>1.0498687664041995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172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0.8771929824561403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180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2.0289855072463765</v>
      </c>
      <c r="J25" s="37">
        <v>155</v>
      </c>
      <c r="K25" s="37">
        <v>166</v>
      </c>
      <c r="L25" s="47">
        <f t="shared" si="2"/>
        <v>9.657320872274143</v>
      </c>
      <c r="M25" s="49">
        <f t="shared" si="0"/>
        <v>0.5714285714285714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45</v>
      </c>
      <c r="D36" s="39">
        <v>50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-5</v>
      </c>
      <c r="J36" s="37">
        <v>65</v>
      </c>
      <c r="K36" s="37">
        <v>80</v>
      </c>
      <c r="L36" s="47">
        <f t="shared" ref="L36:L50" si="6">((C36+D36)/2-(J36+K36)/2)/((J36+K36)/2)*100</f>
        <v>-34.482758620689658</v>
      </c>
      <c r="M36" s="49">
        <f>((C36+D36)/2-(E36+F36)/2)/((E36+F36)/2)*100</f>
        <v>-9.5238095238095237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180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-5.2631578947368416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250</v>
      </c>
      <c r="L45" s="47">
        <f t="shared" si="6"/>
        <v>-28.205128205128204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27.906976744186046</v>
      </c>
      <c r="J51" s="37">
        <v>200</v>
      </c>
      <c r="K51" s="37">
        <v>225</v>
      </c>
      <c r="L51" s="47">
        <f>((C51+D51)/2-(J51+K51)/2)/((J51+K51)/2)*100</f>
        <v>29.411764705882355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1.2269938650306749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170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-5.2631578947368416</v>
      </c>
      <c r="J57" s="37">
        <v>160</v>
      </c>
      <c r="K57" s="37">
        <v>185</v>
      </c>
      <c r="L57" s="47">
        <f t="shared" si="8"/>
        <v>4.3478260869565215</v>
      </c>
      <c r="M57" s="49">
        <f t="shared" si="0"/>
        <v>-5.2631578947368416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1.1235955056179776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6"/>
      <c r="B64" s="67"/>
      <c r="C64" s="56"/>
      <c r="D64" s="70"/>
      <c r="E64" s="56"/>
      <c r="F64" s="70"/>
      <c r="G64" s="70"/>
      <c r="H64" s="70"/>
      <c r="I64" s="68"/>
      <c r="J64" s="56"/>
      <c r="K64" s="56"/>
      <c r="L64" s="69"/>
      <c r="M64" s="49"/>
    </row>
    <row r="65" spans="1:13" s="48" customFormat="1" ht="25.5" customHeight="1">
      <c r="A65" s="66"/>
      <c r="B65" s="67"/>
      <c r="C65" s="56"/>
      <c r="D65" s="56"/>
      <c r="E65" s="56"/>
      <c r="F65" s="56"/>
      <c r="G65" s="56"/>
      <c r="H65" s="56"/>
      <c r="I65" s="68"/>
      <c r="J65" s="56"/>
      <c r="K65" s="56"/>
      <c r="L65" s="69"/>
      <c r="M65" s="49"/>
    </row>
    <row r="66" spans="1:13" s="48" customFormat="1" ht="25.5" customHeight="1">
      <c r="A66" s="66"/>
      <c r="B66" s="67"/>
      <c r="C66" s="56"/>
      <c r="D66" s="56"/>
      <c r="E66" s="56"/>
      <c r="F66" s="56"/>
      <c r="G66" s="56"/>
      <c r="H66" s="56"/>
      <c r="I66" s="68"/>
      <c r="J66" s="56"/>
      <c r="K66" s="56"/>
      <c r="L66" s="69"/>
      <c r="M66" s="49"/>
    </row>
    <row r="67" spans="1:13" s="48" customFormat="1" ht="25.5" customHeight="1">
      <c r="A67" s="66"/>
      <c r="B67" s="67"/>
      <c r="C67" s="56"/>
      <c r="D67" s="56"/>
      <c r="E67" s="56"/>
      <c r="F67" s="56"/>
      <c r="G67" s="56"/>
      <c r="H67" s="56"/>
      <c r="I67" s="68"/>
      <c r="J67" s="56"/>
      <c r="K67" s="56"/>
      <c r="L67" s="69"/>
      <c r="M67" s="49"/>
    </row>
    <row r="68" spans="1:13">
      <c r="A68" s="88" t="s">
        <v>1</v>
      </c>
      <c r="B68" s="88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>
      <c r="A69" s="89"/>
      <c r="B69" s="89"/>
      <c r="C69" s="92">
        <v>46295</v>
      </c>
      <c r="D69" s="93"/>
      <c r="E69" s="92">
        <v>46288</v>
      </c>
      <c r="F69" s="93"/>
      <c r="G69" s="92">
        <v>46264</v>
      </c>
      <c r="H69" s="93"/>
      <c r="I69" s="24" t="s">
        <v>9</v>
      </c>
      <c r="J69" s="90">
        <v>45930</v>
      </c>
      <c r="K69" s="91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2" t="s">
        <v>10</v>
      </c>
      <c r="K70" s="62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140</v>
      </c>
      <c r="F75" s="37">
        <v>160</v>
      </c>
      <c r="G75" s="37">
        <v>120</v>
      </c>
      <c r="H75" s="37">
        <v>140</v>
      </c>
      <c r="I75" s="46">
        <f t="shared" si="10"/>
        <v>15.384615384615385</v>
      </c>
      <c r="J75" s="45">
        <v>160</v>
      </c>
      <c r="K75" s="45">
        <v>200</v>
      </c>
      <c r="L75" s="47">
        <f t="shared" si="9"/>
        <v>-16.666666666666664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11.111111111111111</v>
      </c>
      <c r="J76" s="45">
        <v>80</v>
      </c>
      <c r="K76" s="45">
        <v>120</v>
      </c>
      <c r="L76" s="47">
        <f t="shared" si="9"/>
        <v>0</v>
      </c>
      <c r="M76" s="49">
        <f t="shared" si="11"/>
        <v>-4.7619047619047619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50</v>
      </c>
      <c r="D78" s="42">
        <v>55</v>
      </c>
      <c r="E78" s="42">
        <v>48</v>
      </c>
      <c r="F78" s="42">
        <v>55</v>
      </c>
      <c r="G78" s="42">
        <v>48</v>
      </c>
      <c r="H78" s="42">
        <v>50</v>
      </c>
      <c r="I78" s="46">
        <f t="shared" si="10"/>
        <v>7.1428571428571423</v>
      </c>
      <c r="J78" s="42">
        <v>45</v>
      </c>
      <c r="K78" s="42">
        <v>50</v>
      </c>
      <c r="L78" s="47">
        <f>((C78+D78)/2-(J78+K78)/2)/((J78+K78)/2)*100</f>
        <v>10.526315789473683</v>
      </c>
      <c r="M78" s="49">
        <f t="shared" si="11"/>
        <v>1.9417475728155338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>
      <c r="A82" s="94" t="s">
        <v>117</v>
      </c>
      <c r="B82" s="95"/>
      <c r="C82" s="79" t="s">
        <v>130</v>
      </c>
      <c r="D82" s="79"/>
      <c r="E82" s="79"/>
      <c r="F82" s="79"/>
      <c r="G82" s="79"/>
      <c r="H82" s="79"/>
      <c r="I82" s="79"/>
      <c r="J82" s="79"/>
      <c r="K82" s="79"/>
      <c r="L82" s="79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0" t="s">
        <v>138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3">
      <c r="A85" s="65"/>
      <c r="B85" s="80" t="s">
        <v>133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6" t="s">
        <v>3</v>
      </c>
      <c r="D88" s="78"/>
      <c r="E88" s="81" t="s">
        <v>78</v>
      </c>
      <c r="F88" s="82"/>
      <c r="G88" s="25" t="s">
        <v>9</v>
      </c>
      <c r="H88" s="76" t="s">
        <v>79</v>
      </c>
      <c r="I88" s="77"/>
      <c r="J88" s="78"/>
      <c r="K88" s="9"/>
      <c r="L88" s="2"/>
    </row>
    <row r="89" spans="1:13">
      <c r="A89" s="43" t="s">
        <v>13</v>
      </c>
      <c r="B89" s="44" t="s">
        <v>14</v>
      </c>
      <c r="C89" s="37">
        <v>72</v>
      </c>
      <c r="D89" s="37">
        <v>85</v>
      </c>
      <c r="E89" s="37">
        <v>70</v>
      </c>
      <c r="F89" s="37">
        <v>85</v>
      </c>
      <c r="G89" s="30">
        <f t="shared" ref="G89:G100" si="12">((C89+D89)/2-(E89+F89)/2)/((E89+F89)/2)*100</f>
        <v>1.2903225806451613</v>
      </c>
      <c r="H89" s="76" t="s">
        <v>131</v>
      </c>
      <c r="I89" s="77"/>
      <c r="J89" s="78"/>
      <c r="K89" s="9"/>
      <c r="L89" s="74"/>
    </row>
    <row r="90" spans="1:13">
      <c r="A90" s="43" t="s">
        <v>93</v>
      </c>
      <c r="B90" s="44" t="s">
        <v>14</v>
      </c>
      <c r="C90" s="37">
        <v>58</v>
      </c>
      <c r="D90" s="37">
        <v>65</v>
      </c>
      <c r="E90" s="37">
        <v>55</v>
      </c>
      <c r="F90" s="37">
        <v>65</v>
      </c>
      <c r="G90" s="30">
        <f t="shared" si="12"/>
        <v>2.5</v>
      </c>
      <c r="H90" s="76" t="s">
        <v>125</v>
      </c>
      <c r="I90" s="77"/>
      <c r="J90" s="78"/>
      <c r="K90" s="9"/>
      <c r="L90" s="72"/>
    </row>
    <row r="91" spans="1:13">
      <c r="A91" s="43" t="s">
        <v>18</v>
      </c>
      <c r="B91" s="44" t="s">
        <v>19</v>
      </c>
      <c r="C91" s="37">
        <v>65</v>
      </c>
      <c r="D91" s="37">
        <v>70</v>
      </c>
      <c r="E91" s="37">
        <v>60</v>
      </c>
      <c r="F91" s="37">
        <v>70</v>
      </c>
      <c r="G91" s="30">
        <f t="shared" si="12"/>
        <v>3.8461538461538463</v>
      </c>
      <c r="H91" s="76" t="s">
        <v>124</v>
      </c>
      <c r="I91" s="77"/>
      <c r="J91" s="78"/>
      <c r="K91" s="9"/>
      <c r="L91" s="71"/>
    </row>
    <row r="92" spans="1:13">
      <c r="A92" s="43" t="s">
        <v>21</v>
      </c>
      <c r="B92" s="44" t="s">
        <v>19</v>
      </c>
      <c r="C92" s="37">
        <v>85</v>
      </c>
      <c r="D92" s="37">
        <v>90</v>
      </c>
      <c r="E92" s="37">
        <v>80</v>
      </c>
      <c r="F92" s="37">
        <v>90</v>
      </c>
      <c r="G92" s="30">
        <f t="shared" si="12"/>
        <v>2.9411764705882351</v>
      </c>
      <c r="H92" s="76" t="s">
        <v>123</v>
      </c>
      <c r="I92" s="77"/>
      <c r="J92" s="78"/>
      <c r="K92" s="9"/>
      <c r="L92" s="64"/>
    </row>
    <row r="93" spans="1:13">
      <c r="A93" s="43" t="s">
        <v>23</v>
      </c>
      <c r="B93" s="44" t="s">
        <v>24</v>
      </c>
      <c r="C93" s="39">
        <v>190</v>
      </c>
      <c r="D93" s="37">
        <v>195</v>
      </c>
      <c r="E93" s="39">
        <v>186</v>
      </c>
      <c r="F93" s="37">
        <v>195</v>
      </c>
      <c r="G93" s="30">
        <f t="shared" si="12"/>
        <v>1.0498687664041995</v>
      </c>
      <c r="H93" s="76" t="s">
        <v>127</v>
      </c>
      <c r="I93" s="77"/>
      <c r="J93" s="78"/>
      <c r="K93" s="9"/>
      <c r="L93" s="73"/>
    </row>
    <row r="94" spans="1:13">
      <c r="A94" s="43" t="s">
        <v>29</v>
      </c>
      <c r="B94" s="44" t="s">
        <v>24</v>
      </c>
      <c r="C94" s="37">
        <v>170</v>
      </c>
      <c r="D94" s="37">
        <v>175</v>
      </c>
      <c r="E94" s="37">
        <v>170</v>
      </c>
      <c r="F94" s="37">
        <v>172</v>
      </c>
      <c r="G94" s="30">
        <f t="shared" si="12"/>
        <v>0.8771929824561403</v>
      </c>
      <c r="H94" s="76" t="s">
        <v>128</v>
      </c>
      <c r="I94" s="77"/>
      <c r="J94" s="78"/>
      <c r="K94" s="9"/>
      <c r="L94" s="2"/>
    </row>
    <row r="95" spans="1:13">
      <c r="A95" s="43" t="s">
        <v>94</v>
      </c>
      <c r="B95" s="44" t="s">
        <v>24</v>
      </c>
      <c r="C95" s="37">
        <v>172</v>
      </c>
      <c r="D95" s="37">
        <v>180</v>
      </c>
      <c r="E95" s="37">
        <v>172</v>
      </c>
      <c r="F95" s="37">
        <v>178</v>
      </c>
      <c r="G95" s="30">
        <f t="shared" si="12"/>
        <v>0.5714285714285714</v>
      </c>
      <c r="H95" s="76" t="s">
        <v>137</v>
      </c>
      <c r="I95" s="77"/>
      <c r="J95" s="78"/>
      <c r="K95" s="9"/>
      <c r="L95" s="75"/>
    </row>
    <row r="96" spans="1:13">
      <c r="A96" s="43" t="s">
        <v>121</v>
      </c>
      <c r="B96" s="44" t="s">
        <v>14</v>
      </c>
      <c r="C96" s="39">
        <v>45</v>
      </c>
      <c r="D96" s="39">
        <v>50</v>
      </c>
      <c r="E96" s="39">
        <v>50</v>
      </c>
      <c r="F96" s="39">
        <v>55</v>
      </c>
      <c r="G96" s="30">
        <f t="shared" si="12"/>
        <v>-9.5238095238095237</v>
      </c>
      <c r="H96" s="76" t="s">
        <v>129</v>
      </c>
      <c r="I96" s="77"/>
      <c r="J96" s="78"/>
      <c r="K96" s="9"/>
      <c r="L96" s="73"/>
    </row>
    <row r="97" spans="1:12">
      <c r="A97" s="43" t="s">
        <v>41</v>
      </c>
      <c r="B97" s="44" t="s">
        <v>14</v>
      </c>
      <c r="C97" s="39">
        <v>160</v>
      </c>
      <c r="D97" s="37">
        <v>200</v>
      </c>
      <c r="E97" s="39">
        <v>180</v>
      </c>
      <c r="F97" s="37">
        <v>200</v>
      </c>
      <c r="G97" s="30">
        <f t="shared" si="12"/>
        <v>-5.2631578947368416</v>
      </c>
      <c r="H97" s="76" t="s">
        <v>126</v>
      </c>
      <c r="I97" s="77"/>
      <c r="J97" s="78"/>
      <c r="K97" s="9"/>
      <c r="L97" s="73"/>
    </row>
    <row r="98" spans="1:12">
      <c r="A98" s="43" t="s">
        <v>57</v>
      </c>
      <c r="B98" s="44" t="s">
        <v>14</v>
      </c>
      <c r="C98" s="37">
        <v>170</v>
      </c>
      <c r="D98" s="37">
        <v>190</v>
      </c>
      <c r="E98" s="37">
        <v>180</v>
      </c>
      <c r="F98" s="37">
        <v>200</v>
      </c>
      <c r="G98" s="30">
        <f t="shared" si="12"/>
        <v>-5.2631578947368416</v>
      </c>
      <c r="H98" s="76" t="s">
        <v>132</v>
      </c>
      <c r="I98" s="77"/>
      <c r="J98" s="78"/>
      <c r="K98" s="9"/>
      <c r="L98" s="73"/>
    </row>
    <row r="99" spans="1:12">
      <c r="A99" s="43" t="s">
        <v>103</v>
      </c>
      <c r="B99" s="50" t="s">
        <v>14</v>
      </c>
      <c r="C99" s="37">
        <v>80</v>
      </c>
      <c r="D99" s="37">
        <v>120</v>
      </c>
      <c r="E99" s="37">
        <v>90</v>
      </c>
      <c r="F99" s="37">
        <v>120</v>
      </c>
      <c r="G99" s="30">
        <f t="shared" si="12"/>
        <v>-4.7619047619047619</v>
      </c>
      <c r="H99" s="76" t="s">
        <v>132</v>
      </c>
      <c r="I99" s="77"/>
      <c r="J99" s="78"/>
      <c r="K99" s="9"/>
      <c r="L99" s="74"/>
    </row>
    <row r="100" spans="1:12">
      <c r="A100" s="43" t="s">
        <v>68</v>
      </c>
      <c r="B100" s="44" t="s">
        <v>69</v>
      </c>
      <c r="C100" s="42">
        <v>50</v>
      </c>
      <c r="D100" s="42">
        <v>55</v>
      </c>
      <c r="E100" s="42">
        <v>48</v>
      </c>
      <c r="F100" s="42">
        <v>55</v>
      </c>
      <c r="G100" s="30">
        <f t="shared" si="12"/>
        <v>1.9417475728155338</v>
      </c>
      <c r="H100" s="76" t="s">
        <v>125</v>
      </c>
      <c r="I100" s="77"/>
      <c r="J100" s="78"/>
      <c r="K100" s="9"/>
      <c r="L100" s="63"/>
    </row>
    <row r="101" spans="1:12">
      <c r="A101" s="54"/>
      <c r="B101" s="61"/>
      <c r="C101" s="56"/>
      <c r="D101" s="56"/>
      <c r="E101" s="56"/>
      <c r="F101" s="56"/>
      <c r="G101" s="58"/>
      <c r="H101" s="59"/>
      <c r="I101" s="59"/>
      <c r="J101" s="59"/>
      <c r="K101" s="9"/>
      <c r="L101" s="2"/>
    </row>
    <row r="102" spans="1:12">
      <c r="A102" s="54"/>
      <c r="B102" s="55"/>
      <c r="C102" s="56"/>
      <c r="D102" s="57"/>
      <c r="E102" s="56"/>
      <c r="F102" s="57"/>
      <c r="G102" s="58"/>
      <c r="H102" s="6"/>
      <c r="I102" s="1"/>
      <c r="J102" s="1"/>
      <c r="K102" s="9"/>
      <c r="L102" s="11"/>
    </row>
    <row r="103" spans="1:12">
      <c r="A103" s="6"/>
      <c r="B103" s="12"/>
      <c r="C103" s="3"/>
      <c r="D103" s="3"/>
      <c r="E103" s="3"/>
      <c r="F103" s="3"/>
      <c r="G103" s="4"/>
      <c r="H103" s="6"/>
      <c r="I103" s="1"/>
      <c r="J103" s="1"/>
      <c r="K103" s="11"/>
      <c r="L103" s="11"/>
    </row>
    <row r="104" spans="1:12">
      <c r="A104" s="6"/>
      <c r="B104" s="13" t="s">
        <v>110</v>
      </c>
      <c r="C104" s="2"/>
      <c r="E104" s="6"/>
      <c r="F104" s="13" t="s">
        <v>119</v>
      </c>
      <c r="G104" s="2"/>
      <c r="I104" s="14"/>
      <c r="J104" s="1"/>
      <c r="K104" s="2"/>
      <c r="L104" s="11"/>
    </row>
    <row r="105" spans="1:12">
      <c r="A105" s="15"/>
      <c r="B105" s="13" t="s">
        <v>109</v>
      </c>
      <c r="C105" s="1"/>
      <c r="E105" s="15"/>
      <c r="F105" s="13" t="s">
        <v>120</v>
      </c>
      <c r="G105" s="1"/>
      <c r="I105" s="2"/>
      <c r="J105" s="1"/>
      <c r="L105" s="11"/>
    </row>
    <row r="106" spans="1:12">
      <c r="A106" s="6"/>
      <c r="C106" s="5"/>
      <c r="D106" s="5"/>
      <c r="E106" s="1"/>
      <c r="F106" s="5"/>
      <c r="G106" s="4"/>
      <c r="H106" s="16"/>
      <c r="I106" s="11"/>
      <c r="J106" s="11"/>
      <c r="K106" s="11"/>
      <c r="L106" s="11"/>
    </row>
    <row r="107" spans="1:12">
      <c r="A107" s="17" t="s">
        <v>86</v>
      </c>
      <c r="B107" s="18"/>
      <c r="C107" s="19"/>
      <c r="D107" s="18"/>
      <c r="E107" s="19"/>
      <c r="F107" s="19"/>
      <c r="G107" s="19"/>
      <c r="H107" s="20"/>
      <c r="I107" s="2"/>
      <c r="J107" s="2"/>
      <c r="K107" s="2"/>
      <c r="L107" s="2"/>
    </row>
    <row r="108" spans="1:12">
      <c r="A108" s="21" t="s">
        <v>111</v>
      </c>
      <c r="B108" s="18"/>
      <c r="C108" s="19"/>
      <c r="D108" s="18"/>
      <c r="E108" s="19"/>
      <c r="F108" s="19"/>
      <c r="G108" s="18"/>
      <c r="H108" s="20"/>
      <c r="I108" s="2"/>
      <c r="J108" s="2"/>
      <c r="K108" s="2"/>
      <c r="L108" s="2"/>
    </row>
    <row r="109" spans="1:12">
      <c r="A109" s="21" t="s">
        <v>105</v>
      </c>
      <c r="B109" s="18"/>
      <c r="C109" s="18"/>
      <c r="D109" s="18"/>
      <c r="E109" s="18"/>
      <c r="F109" s="19"/>
      <c r="G109" s="18"/>
      <c r="H109" s="20"/>
      <c r="I109" s="2"/>
      <c r="J109" s="2"/>
      <c r="K109" s="2"/>
      <c r="L109" s="2"/>
    </row>
    <row r="110" spans="1:12">
      <c r="A110" s="21" t="s">
        <v>80</v>
      </c>
      <c r="B110" s="18"/>
      <c r="C110" s="18"/>
      <c r="D110" s="18"/>
      <c r="E110" s="18"/>
      <c r="F110" s="20"/>
      <c r="G110" s="20"/>
      <c r="H110" s="20"/>
      <c r="I110" s="2"/>
      <c r="J110" s="2"/>
      <c r="K110" s="2"/>
      <c r="L110" s="2"/>
    </row>
    <row r="111" spans="1:12">
      <c r="A111" s="21" t="s">
        <v>106</v>
      </c>
      <c r="B111" s="18"/>
      <c r="C111" s="18"/>
      <c r="D111" s="18"/>
      <c r="E111" s="18"/>
      <c r="F111" s="18"/>
      <c r="G111" s="20"/>
      <c r="H111" s="20"/>
      <c r="I111" s="2"/>
      <c r="J111" s="2"/>
      <c r="K111" s="2"/>
      <c r="L111" s="2"/>
    </row>
    <row r="112" spans="1:12">
      <c r="A112" s="21" t="s">
        <v>89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95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88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87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81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90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112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91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92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107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/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17" t="s">
        <v>82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83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113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114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99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443" spans="2:2">
      <c r="B443" s="10" t="s">
        <v>108</v>
      </c>
    </row>
  </sheetData>
  <mergeCells count="44">
    <mergeCell ref="H99:J99"/>
    <mergeCell ref="E7:F7"/>
    <mergeCell ref="G7:H7"/>
    <mergeCell ref="A82:B82"/>
    <mergeCell ref="H100:J100"/>
    <mergeCell ref="H91:J91"/>
    <mergeCell ref="H93:J93"/>
    <mergeCell ref="B85:L8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C82:L82"/>
    <mergeCell ref="H94:J94"/>
    <mergeCell ref="H96:J96"/>
    <mergeCell ref="H97:J97"/>
    <mergeCell ref="H98:J98"/>
    <mergeCell ref="B84:L84"/>
    <mergeCell ref="C88:D88"/>
    <mergeCell ref="E88:F88"/>
    <mergeCell ref="H88:J88"/>
    <mergeCell ref="H92:J92"/>
    <mergeCell ref="H90:J90"/>
    <mergeCell ref="H89:J89"/>
    <mergeCell ref="H95:J9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2026-09-28T08:29:27Z</cp:lastPrinted>
  <dcterms:created xsi:type="dcterms:W3CDTF">2021-06-05T07:13:00Z</dcterms:created>
  <dcterms:modified xsi:type="dcterms:W3CDTF">2026-09-30T07:53:39Z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