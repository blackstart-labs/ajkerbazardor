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9. September-2026\"/>
    </mc:Choice>
  </mc:AlternateContent>
  <bookViews>
    <workbookView xWindow="0" yWindow="0" windowWidth="15135" windowHeight="10755"/>
  </bookViews>
  <sheets>
    <sheet name="Daily retail price" sheetId="4" r:id="rId1"/>
  </sheets>
  <definedNames>
    <definedName name="_xlnm.Print_Area" localSheetId="0">'Daily retail price'!$A$1:$L$129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0" i="4" l="1"/>
  <c r="G100" i="4"/>
  <c r="G98" i="4" l="1"/>
  <c r="G97" i="4"/>
  <c r="G96" i="4"/>
  <c r="G94" i="4"/>
  <c r="G91" i="4"/>
  <c r="G92" i="4"/>
  <c r="G99" i="4"/>
  <c r="I71" i="4"/>
  <c r="G93" i="4"/>
  <c r="G101" i="4"/>
  <c r="G95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71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<sst xmlns="http://schemas.openxmlformats.org/spreadsheetml/2006/main" count="256" uniqueCount="140">
  <si>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</si>
  <si>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</si>
  <si>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</si>
  <si>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</si>
  <si>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</si>
  <si>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</si>
  <si>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</si>
  <si>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</si>
  <si>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</si>
  <si>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</si>
  <si>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</si>
  <si>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</si>
  <si>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</si>
  <si>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</si>
  <si>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</si>
  <si>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</si>
  <si>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</si>
  <si>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</si>
  <si>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</si>
  <si>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</si>
  <si>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</si>
  <si>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</si>
  <si>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</si>
  <si>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</si>
  <si>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</si>
  <si>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</si>
  <si>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</si>
  <si>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</si>
  <si>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</si>
  <si>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</si>
  <si>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</si>
  <si>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</si>
  <si>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</si>
  <si>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</si>
  <si>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</si>
  <si>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</si>
  <si>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</si>
  <si>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</si>
  <si>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</si>
  <si>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</si>
  <si>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</si>
  <si>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</si>
  <si>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</si>
  <si>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</si>
  <si>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</si>
  <si>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</si>
  <si>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</si>
  <si>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</si>
  <si>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</si>
  <si>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</si>
  <si>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</si>
  <si>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</si>
  <si>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</si>
  <si>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</si>
  <si>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</si>
  <si>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</si>
  <si>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</si>
  <si>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</si>
  <si>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</si>
  <si>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</si>
  <si>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</si>
  <si>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</si>
  <si>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</si>
  <si>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</si>
  <si>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</si>
  <si>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</si>
  <si>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</si>
  <si>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</si>
  <si>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</si>
  <si>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</si>
  <si>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</si>
  <si>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</si>
  <si>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</si>
  <si>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</si>
  <si>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</si>
  <si>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</si>
  <si>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</si>
  <si>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</si>
  <si>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</si>
  <si>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</si>
  <si>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</si>
  <si>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</si>
  <si>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</si>
  <si>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</si>
  <si>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</si>
  <si>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</si>
  <si>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</si>
  <si>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</si>
  <si>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</si>
  <si>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</si>
  <si>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</si>
  <si>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</si>
  <si>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</si>
  <si>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</si>
  <si>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</si>
  <si>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</si>
  <si>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</si>
  <si>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</si>
  <si>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</si>
  <si>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</si>
  <si>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</si>
  <si>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</si>
  <si>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</si>
  <si>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</si>
  <si>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</si>
  <si>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</si>
  <si>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</si>
  <si>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</si>
  <si>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</si>
  <si>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</si>
  <si>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</si>
  <si>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</si>
  <si>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</si>
  <si>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</si>
  <si>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</si>
  <si>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</si>
  <si>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</si>
  <si>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</si>
  <si>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</si>
  <si>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</si>
  <si>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</si>
  <si>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</si>
  <si>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(৩)  অন্যান্য পণ্যের মূল্য অপরিবর্তীত রয়েছে।</t>
  </si>
  <si>
    <t>২১-০৯-২০২৬ তারিখে মূল্য বৃদ্ধি পেয়েছে।</t>
  </si>
  <si>
    <t>২২-০৯-২০২৬ তারিখে মূল্য বৃদ্ধি পেয়েছে।</t>
  </si>
  <si>
    <t>২৪-০৯-২০২৬ তারিখে মূল্য বৃদ্ধি পেয়েছে।</t>
  </si>
  <si>
    <t>২৫-০৯-২০২৬ তারিখে মূল্য হ্রাস পেয়েছে।</t>
  </si>
  <si>
    <t>২৬-০৯-২০২৬ তারিখে মূল্য বৃদ্ধি পেয়েছে।</t>
  </si>
  <si>
    <t>২৫-০৯-২০২৬ তারিখে মূল্য বৃদ্ধি পেয়েছে।</t>
  </si>
  <si>
    <t>২৭-০৯-২০২৬ তারিখে মূল্য বৃদ্ধি পেয়েছে।</t>
  </si>
  <si>
    <t>২৭-০৯-২০২৬ তারিখে মূল্য হ্রাস পেয়েছে।</t>
  </si>
  <si>
    <t xml:space="preserve">           ডিম, কাঁচামরিচ  এর মূল্য বৃদ্ধি পেয়েছে।</t>
  </si>
  <si>
    <t xml:space="preserve"> মিরপুর-৬, মোহাম্মদপুর টাউন হল, মালিবাগ, রামপুরা, মহাখালী, হাতিরপুল, পশ্চিম আগারগাঁও বাজার। </t>
  </si>
  <si>
    <t>২৮-০৯-২০২৬ তারিখে মূল্য বৃদ্ধি পেয়েছে।</t>
  </si>
  <si>
    <t>২৮-০৯-২০২৬ তারিখে মূল্য হ্রাস পেয়েছে।</t>
  </si>
  <si>
    <t>(১)    চাল (সরু, মাঝারী), আটা (প্যাঃ), ময়দা (প্যাঃ), সয়াবিন তেল (লুজ), পাম অয়েল লুজ,</t>
  </si>
  <si>
    <t>(২)    পেঁয়াজ (দেশী), রসুন (আম), মুরগী ব্রয়লার, বেগুন   এর মূল্য হ্রাস পেয়েছে।</t>
  </si>
  <si>
    <t xml:space="preserve">নং-২৬.০৫.০০০০.০১৭.৩১.০১.২৬-৭৬৫                                                                                                           তারিখঃ ২৯-০৯-২০২৬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</si>
  <si>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২৪২</t>
  </si>
  <si>
    <t xml:space="preserve">মঙ্গলবার ২৯ সেপ্টেম্বর ২০২৬ খ্রিঃ, ১৪ আশ্বিন ১৪৩৩ বাংলা, ১৮ রবিউল সানি ১৪৪৮ হিজরি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</si>
</sst>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6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2" fillId="5" borderId="0" xfId="3" applyFont="1" applyFill="1" applyAlignment="1">
      <alignment horizontal="center" vertical="center" shrinkToFit="1"/>
    </xf>
    <xf numFmtId="0" fontId="1" fillId="2" borderId="1" xfId="3" applyFont="1" applyFill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 vertical="center" shrinkToFit="1"/>
    </xf>
    <xf numFmtId="167" fontId="12" fillId="0" borderId="0" xfId="3" applyNumberFormat="1" applyFont="1" applyBorder="1" applyAlignment="1">
      <alignment horizontal="center" vertical="center" shrinkToFit="1"/>
    </xf>
    <xf numFmtId="166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164" fontId="1" fillId="0" borderId="3" xfId="3" applyNumberFormat="1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183378</xdr:rowOff>
    </xdr:to>
    <xdr:sp macro="" textlink="">
      <xdr:nvSpPr>
        <xdr:cNvPr id="1025" name="AutoShape 1">
          <a:extLst>
            <a:ext uri="{FF2B5EF4-FFF2-40B4-BE49-F238E27FC236}">
              <a16:creationId xmlns=""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4"/>
  <sheetViews>
    <sheetView tabSelected="1" topLeftCell="A84" zoomScaleNormal="100" workbookViewId="0">
      <selection activeCell="C90" sqref="C90:F97"/>
    </sheetView>
  </sheetViews>
  <sheetFormatPr defaultColWidth="8.796875" defaultRowHeight="21.75"/>
  <cols>
    <col min="1" max="1" width="17.796875" style="10" customWidth="1"/>
    <col min="2" max="2" width="9.796875" style="10" customWidth="1"/>
    <col min="3" max="3" width="9.5" style="10" customWidth="1"/>
    <col min="4" max="4" width="8.5" style="10" customWidth="1"/>
    <col min="5" max="5" width="9.09765625" style="10" customWidth="1"/>
    <col min="6" max="6" width="8.8984375" style="10" customWidth="1"/>
    <col min="7" max="7" width="8.796875" style="10" customWidth="1"/>
    <col min="8" max="8" width="8.59765625" style="10" customWidth="1"/>
    <col min="9" max="9" width="8.8984375" style="10" customWidth="1"/>
    <col min="10" max="10" width="10.69921875" style="10" customWidth="1"/>
    <col min="11" max="11" width="9.3984375" style="10" customWidth="1"/>
    <col min="12" max="12" width="10.296875" style="10" customWidth="1"/>
    <col min="13" max="13" width="0.19921875" style="49" customWidth="1"/>
    <col min="14" max="16384" width="8.796875" style="10"/>
  </cols>
  <sheetData>
    <row r="1" spans="1:18" ht="24.75">
      <c r="A1" s="83" t="s">
        <v>115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</row>
    <row r="2" spans="1:18">
      <c r="A2" s="84" t="s">
        <v>116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</row>
    <row r="3" spans="1:18">
      <c r="A3" s="85" t="s">
        <v>138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</row>
    <row r="4" spans="1:18">
      <c r="A4" s="86" t="s">
        <v>139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P4" s="51"/>
      <c r="Q4" s="51"/>
      <c r="R4" s="51"/>
    </row>
    <row r="5" spans="1:18">
      <c r="A5" s="87" t="s">
        <v>137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P5" s="52"/>
      <c r="Q5" s="53"/>
    </row>
    <row r="6" spans="1:18" s="27" customFormat="1">
      <c r="A6" s="88" t="s">
        <v>1</v>
      </c>
      <c r="B6" s="88" t="s">
        <v>2</v>
      </c>
      <c r="C6" s="76" t="s">
        <v>3</v>
      </c>
      <c r="D6" s="78"/>
      <c r="E6" s="76" t="s">
        <v>4</v>
      </c>
      <c r="F6" s="78"/>
      <c r="G6" s="76" t="s">
        <v>5</v>
      </c>
      <c r="H6" s="78"/>
      <c r="I6" s="24" t="s">
        <v>6</v>
      </c>
      <c r="J6" s="76" t="s">
        <v>7</v>
      </c>
      <c r="K6" s="78"/>
      <c r="L6" s="26" t="s">
        <v>8</v>
      </c>
      <c r="M6" s="49"/>
    </row>
    <row r="7" spans="1:18" s="27" customFormat="1">
      <c r="A7" s="89"/>
      <c r="B7" s="89"/>
      <c r="C7" s="92">
        <v>46294</v>
      </c>
      <c r="D7" s="93"/>
      <c r="E7" s="92">
        <v>46287</v>
      </c>
      <c r="F7" s="93"/>
      <c r="G7" s="92">
        <v>46263</v>
      </c>
      <c r="H7" s="93"/>
      <c r="I7" s="24" t="s">
        <v>9</v>
      </c>
      <c r="J7" s="90">
        <v>45929</v>
      </c>
      <c r="K7" s="91"/>
      <c r="L7" s="24" t="s">
        <v>9</v>
      </c>
      <c r="M7" s="49"/>
    </row>
    <row r="8" spans="1:18" s="27" customFormat="1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60" t="s">
        <v>10</v>
      </c>
      <c r="K8" s="60" t="s">
        <v>11</v>
      </c>
      <c r="L8" s="29" t="s">
        <v>12</v>
      </c>
      <c r="M8" s="49"/>
    </row>
    <row r="9" spans="1:18" s="27" customFormat="1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240</v>
      </c>
      <c r="I10" s="46">
        <f>((C10+D10)/2-(G10+H10)/2)/((G10+H10)/2)*100</f>
        <v>-2.2727272727272729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>
      <c r="A11" s="43" t="s">
        <v>13</v>
      </c>
      <c r="B11" s="44" t="s">
        <v>14</v>
      </c>
      <c r="C11" s="37">
        <v>72</v>
      </c>
      <c r="D11" s="37">
        <v>85</v>
      </c>
      <c r="E11" s="37">
        <v>70</v>
      </c>
      <c r="F11" s="37">
        <v>85</v>
      </c>
      <c r="G11" s="37">
        <v>70</v>
      </c>
      <c r="H11" s="37">
        <v>85</v>
      </c>
      <c r="I11" s="46">
        <f>((C11+D11)/2-(G11+H11)/2)/((G11+H11)/2)*100</f>
        <v>1.2903225806451613</v>
      </c>
      <c r="J11" s="37">
        <v>75</v>
      </c>
      <c r="K11" s="37">
        <v>85</v>
      </c>
      <c r="L11" s="47">
        <f>((C11+D11)/2-(J11+K11)/2)/((J11+K11)/2)*100</f>
        <v>-1.875</v>
      </c>
      <c r="M11" s="49"/>
    </row>
    <row r="12" spans="1:18" s="27" customFormat="1">
      <c r="A12" s="43" t="s">
        <v>93</v>
      </c>
      <c r="B12" s="44" t="s">
        <v>14</v>
      </c>
      <c r="C12" s="37">
        <v>58</v>
      </c>
      <c r="D12" s="37">
        <v>65</v>
      </c>
      <c r="E12" s="37">
        <v>55</v>
      </c>
      <c r="F12" s="37">
        <v>65</v>
      </c>
      <c r="G12" s="37">
        <v>55</v>
      </c>
      <c r="H12" s="37">
        <v>65</v>
      </c>
      <c r="I12" s="46">
        <f>((C12+D12)/2-(G12+H12)/2)/((G12+H12)/2)*100</f>
        <v>2.5</v>
      </c>
      <c r="J12" s="37">
        <v>60</v>
      </c>
      <c r="K12" s="37">
        <v>70</v>
      </c>
      <c r="L12" s="47">
        <f>((C12+D12)/2-(J12+K12)/2)/((J12+K12)/2)*100</f>
        <v>-5.384615384615385</v>
      </c>
      <c r="M12" s="49">
        <f t="shared" ref="M12:M73" si="0">((C12+D12)/2-(E12+F12)/2)/((E12+F12)/2)*100</f>
        <v>2.5</v>
      </c>
    </row>
    <row r="13" spans="1:18" s="27" customFormat="1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>
      <c r="A15" s="43" t="s">
        <v>17</v>
      </c>
      <c r="B15" s="44" t="s">
        <v>14</v>
      </c>
      <c r="C15" s="37">
        <v>50</v>
      </c>
      <c r="D15" s="37">
        <v>50</v>
      </c>
      <c r="E15" s="37">
        <v>50</v>
      </c>
      <c r="F15" s="37">
        <v>50</v>
      </c>
      <c r="G15" s="37">
        <v>48</v>
      </c>
      <c r="H15" s="37">
        <v>50</v>
      </c>
      <c r="I15" s="46">
        <f>((C15+D15)/2-(G15+H15)/2)/((G15+H15)/2)*100</f>
        <v>2.0408163265306123</v>
      </c>
      <c r="J15" s="37">
        <v>45</v>
      </c>
      <c r="K15" s="37">
        <v>52</v>
      </c>
      <c r="L15" s="47">
        <f>((C15+D15)/2-(J15+K15)/2)/((J15+K15)/2)*100</f>
        <v>3.0927835051546393</v>
      </c>
      <c r="M15" s="49">
        <f t="shared" si="0"/>
        <v>0</v>
      </c>
    </row>
    <row r="16" spans="1:18" s="27" customFormat="1">
      <c r="A16" s="43" t="s">
        <v>18</v>
      </c>
      <c r="B16" s="44" t="s">
        <v>19</v>
      </c>
      <c r="C16" s="37">
        <v>65</v>
      </c>
      <c r="D16" s="37">
        <v>70</v>
      </c>
      <c r="E16" s="37">
        <v>60</v>
      </c>
      <c r="F16" s="37">
        <v>70</v>
      </c>
      <c r="G16" s="37">
        <v>60</v>
      </c>
      <c r="H16" s="37">
        <v>65</v>
      </c>
      <c r="I16" s="46">
        <f>((C16+D16)/2-(G16+H16)/2)/((G16+H16)/2)*100</f>
        <v>8</v>
      </c>
      <c r="J16" s="37">
        <v>55</v>
      </c>
      <c r="K16" s="37">
        <v>65</v>
      </c>
      <c r="L16" s="47">
        <f>((C16+D16)/2-(J16+K16)/2)/((J16+K16)/2)*100</f>
        <v>12.5</v>
      </c>
      <c r="M16" s="49">
        <f t="shared" si="0"/>
        <v>3.8461538461538463</v>
      </c>
    </row>
    <row r="17" spans="1:13" s="27" customFormat="1">
      <c r="A17" s="43" t="s">
        <v>20</v>
      </c>
      <c r="B17" s="44" t="s">
        <v>14</v>
      </c>
      <c r="C17" s="37">
        <v>70</v>
      </c>
      <c r="D17" s="37">
        <v>70</v>
      </c>
      <c r="E17" s="37">
        <v>70</v>
      </c>
      <c r="F17" s="37">
        <v>70</v>
      </c>
      <c r="G17" s="37">
        <v>65</v>
      </c>
      <c r="H17" s="37">
        <v>70</v>
      </c>
      <c r="I17" s="46">
        <f>((C17+D17)/2-(G17+H17)/2)/((G17+H17)/2)*100</f>
        <v>3.7037037037037033</v>
      </c>
      <c r="J17" s="37">
        <v>55</v>
      </c>
      <c r="K17" s="37">
        <v>65</v>
      </c>
      <c r="L17" s="47">
        <f>((C17+D17)/2-(J17+K17)/2)/((J17+K17)/2)*100</f>
        <v>16.666666666666664</v>
      </c>
      <c r="M17" s="49">
        <f t="shared" si="0"/>
        <v>0</v>
      </c>
    </row>
    <row r="18" spans="1:13" s="27" customFormat="1">
      <c r="A18" s="43" t="s">
        <v>21</v>
      </c>
      <c r="B18" s="44" t="s">
        <v>19</v>
      </c>
      <c r="C18" s="37">
        <v>85</v>
      </c>
      <c r="D18" s="37">
        <v>90</v>
      </c>
      <c r="E18" s="37">
        <v>80</v>
      </c>
      <c r="F18" s="37">
        <v>90</v>
      </c>
      <c r="G18" s="37">
        <v>70</v>
      </c>
      <c r="H18" s="37">
        <v>80</v>
      </c>
      <c r="I18" s="46">
        <f>((C18+D18)/2-(G18+H18)/2)/((G18+H18)/2)*100</f>
        <v>16.666666666666664</v>
      </c>
      <c r="J18" s="37">
        <v>65</v>
      </c>
      <c r="K18" s="37">
        <v>75</v>
      </c>
      <c r="L18" s="47">
        <f>((C18+D18)/2-(J18+K18)/2)/((J18+K18)/2)*100</f>
        <v>25</v>
      </c>
      <c r="M18" s="49">
        <f t="shared" si="0"/>
        <v>2.9411764705882351</v>
      </c>
    </row>
    <row r="19" spans="1:13" s="27" customFormat="1" ht="18" customHeight="1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>
      <c r="A20" s="43" t="s">
        <v>23</v>
      </c>
      <c r="B20" s="44" t="s">
        <v>24</v>
      </c>
      <c r="C20" s="39">
        <v>190</v>
      </c>
      <c r="D20" s="37">
        <v>195</v>
      </c>
      <c r="E20" s="39">
        <v>186</v>
      </c>
      <c r="F20" s="37">
        <v>195</v>
      </c>
      <c r="G20" s="39">
        <v>186</v>
      </c>
      <c r="H20" s="37">
        <v>192</v>
      </c>
      <c r="I20" s="46">
        <f t="shared" ref="I20:I26" si="1">((C20+D20)/2-(G20+H20)/2)/((G20+H20)/2)*100</f>
        <v>1.8518518518518516</v>
      </c>
      <c r="J20" s="37">
        <v>170</v>
      </c>
      <c r="K20" s="37">
        <v>178</v>
      </c>
      <c r="L20" s="47">
        <f>((C20+D20)/2-(J20+K20)/2)/((J20+K20)/2)*100</f>
        <v>10.632183908045976</v>
      </c>
      <c r="M20" s="49">
        <f t="shared" si="0"/>
        <v>1.0498687664041995</v>
      </c>
    </row>
    <row r="21" spans="1:13" s="27" customFormat="1">
      <c r="A21" s="43" t="s">
        <v>25</v>
      </c>
      <c r="B21" s="44" t="s">
        <v>26</v>
      </c>
      <c r="C21" s="37">
        <v>1000</v>
      </c>
      <c r="D21" s="37">
        <v>1000</v>
      </c>
      <c r="E21" s="37">
        <v>1000</v>
      </c>
      <c r="F21" s="37">
        <v>1000</v>
      </c>
      <c r="G21" s="37">
        <v>975</v>
      </c>
      <c r="H21" s="37">
        <v>975</v>
      </c>
      <c r="I21" s="46">
        <f t="shared" si="1"/>
        <v>2.5641025641025639</v>
      </c>
      <c r="J21" s="37">
        <v>890</v>
      </c>
      <c r="K21" s="37">
        <v>920</v>
      </c>
      <c r="L21" s="47">
        <f t="shared" ref="L21:L25" si="2">((C21+D21)/2-(J21+K21)/2)/((J21+K21)/2)*100</f>
        <v>10.497237569060774</v>
      </c>
      <c r="M21" s="49">
        <f t="shared" si="0"/>
        <v>0</v>
      </c>
    </row>
    <row r="22" spans="1:13" s="27" customFormat="1">
      <c r="A22" s="43" t="s">
        <v>25</v>
      </c>
      <c r="B22" s="44" t="s">
        <v>27</v>
      </c>
      <c r="C22" s="37">
        <v>410</v>
      </c>
      <c r="D22" s="37">
        <v>410</v>
      </c>
      <c r="E22" s="37">
        <v>410</v>
      </c>
      <c r="F22" s="37">
        <v>410</v>
      </c>
      <c r="G22" s="37">
        <v>398</v>
      </c>
      <c r="H22" s="37">
        <v>398</v>
      </c>
      <c r="I22" s="46">
        <f t="shared" si="1"/>
        <v>3.0150753768844218</v>
      </c>
      <c r="J22" s="37">
        <v>375</v>
      </c>
      <c r="K22" s="37">
        <v>380</v>
      </c>
      <c r="L22" s="47">
        <f t="shared" si="2"/>
        <v>8.6092715231788084</v>
      </c>
      <c r="M22" s="49">
        <f t="shared" si="0"/>
        <v>0</v>
      </c>
    </row>
    <row r="23" spans="1:13" s="27" customFormat="1">
      <c r="A23" s="43" t="s">
        <v>25</v>
      </c>
      <c r="B23" s="44" t="s">
        <v>28</v>
      </c>
      <c r="C23" s="37">
        <v>204</v>
      </c>
      <c r="D23" s="37">
        <v>204</v>
      </c>
      <c r="E23" s="37">
        <v>204</v>
      </c>
      <c r="F23" s="37">
        <v>204</v>
      </c>
      <c r="G23" s="37">
        <v>199</v>
      </c>
      <c r="H23" s="37">
        <v>199</v>
      </c>
      <c r="I23" s="46">
        <f t="shared" si="1"/>
        <v>2.512562814070352</v>
      </c>
      <c r="J23" s="37">
        <v>188</v>
      </c>
      <c r="K23" s="37">
        <v>190</v>
      </c>
      <c r="L23" s="47">
        <f t="shared" si="2"/>
        <v>7.9365079365079358</v>
      </c>
      <c r="M23" s="49">
        <f t="shared" si="0"/>
        <v>0</v>
      </c>
    </row>
    <row r="24" spans="1:13" s="27" customFormat="1">
      <c r="A24" s="43" t="s">
        <v>29</v>
      </c>
      <c r="B24" s="44" t="s">
        <v>24</v>
      </c>
      <c r="C24" s="37">
        <v>170</v>
      </c>
      <c r="D24" s="37">
        <v>175</v>
      </c>
      <c r="E24" s="37">
        <v>170</v>
      </c>
      <c r="F24" s="37">
        <v>172</v>
      </c>
      <c r="G24" s="37">
        <v>165</v>
      </c>
      <c r="H24" s="37">
        <v>170</v>
      </c>
      <c r="I24" s="46">
        <f t="shared" si="1"/>
        <v>2.9850746268656714</v>
      </c>
      <c r="J24" s="37">
        <v>153</v>
      </c>
      <c r="K24" s="37">
        <v>160</v>
      </c>
      <c r="L24" s="47">
        <f t="shared" si="2"/>
        <v>10.223642172523961</v>
      </c>
      <c r="M24" s="49">
        <f t="shared" si="0"/>
        <v>0.8771929824561403</v>
      </c>
    </row>
    <row r="25" spans="1:13" s="27" customFormat="1">
      <c r="A25" s="43" t="s">
        <v>94</v>
      </c>
      <c r="B25" s="44" t="s">
        <v>24</v>
      </c>
      <c r="C25" s="37">
        <v>172</v>
      </c>
      <c r="D25" s="37">
        <v>178</v>
      </c>
      <c r="E25" s="37">
        <v>172</v>
      </c>
      <c r="F25" s="37">
        <v>178</v>
      </c>
      <c r="G25" s="37">
        <v>170</v>
      </c>
      <c r="H25" s="37">
        <v>175</v>
      </c>
      <c r="I25" s="46">
        <f t="shared" si="1"/>
        <v>1.4492753623188406</v>
      </c>
      <c r="J25" s="37">
        <v>155</v>
      </c>
      <c r="K25" s="37">
        <v>166</v>
      </c>
      <c r="L25" s="47">
        <f t="shared" si="2"/>
        <v>9.0342679127725845</v>
      </c>
      <c r="M25" s="49">
        <f t="shared" si="0"/>
        <v>0</v>
      </c>
    </row>
    <row r="26" spans="1:13" s="27" customFormat="1">
      <c r="A26" s="43" t="s">
        <v>30</v>
      </c>
      <c r="B26" s="44" t="s">
        <v>26</v>
      </c>
      <c r="C26" s="37">
        <v>1030</v>
      </c>
      <c r="D26" s="37">
        <v>1140</v>
      </c>
      <c r="E26" s="37">
        <v>1030</v>
      </c>
      <c r="F26" s="37">
        <v>1140</v>
      </c>
      <c r="G26" s="37">
        <v>1030</v>
      </c>
      <c r="H26" s="37">
        <v>1140</v>
      </c>
      <c r="I26" s="46">
        <f t="shared" si="1"/>
        <v>0</v>
      </c>
      <c r="J26" s="37">
        <v>1030</v>
      </c>
      <c r="K26" s="37">
        <v>1080</v>
      </c>
      <c r="L26" s="47">
        <f>((C26+D26)/2-(J26+K26)/2)/((J26+K26)/2)*100</f>
        <v>2.8436018957345972</v>
      </c>
      <c r="M26" s="49">
        <f t="shared" si="0"/>
        <v>0</v>
      </c>
    </row>
    <row r="27" spans="1:13" s="27" customFormat="1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9.5">
      <c r="A28" s="43" t="s">
        <v>33</v>
      </c>
      <c r="B28" s="44" t="s">
        <v>14</v>
      </c>
      <c r="C28" s="37">
        <v>95</v>
      </c>
      <c r="D28" s="37">
        <v>100</v>
      </c>
      <c r="E28" s="37">
        <v>95</v>
      </c>
      <c r="F28" s="37">
        <v>100</v>
      </c>
      <c r="G28" s="37">
        <v>90</v>
      </c>
      <c r="H28" s="37">
        <v>100</v>
      </c>
      <c r="I28" s="46">
        <f t="shared" ref="I28:I34" si="3">((C28+D28)/2-(G28+H28)/2)/((G28+H28)/2)*100</f>
        <v>2.6315789473684208</v>
      </c>
      <c r="J28" s="37">
        <v>95</v>
      </c>
      <c r="K28" s="37">
        <v>110</v>
      </c>
      <c r="L28" s="47">
        <f t="shared" ref="L28:L34" si="4">((C28+D28)/2-(J28+K28)/2)/((J28+K28)/2)*100</f>
        <v>-4.8780487804878048</v>
      </c>
      <c r="M28" s="49">
        <f t="shared" si="0"/>
        <v>0</v>
      </c>
    </row>
    <row r="29" spans="1:13" s="48" customFormat="1" ht="19.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120</v>
      </c>
      <c r="K29" s="37">
        <v>140</v>
      </c>
      <c r="L29" s="47">
        <f t="shared" si="4"/>
        <v>-9.6153846153846168</v>
      </c>
      <c r="M29" s="49">
        <f t="shared" si="0"/>
        <v>0</v>
      </c>
    </row>
    <row r="30" spans="1:13" s="48" customFormat="1" ht="19.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9.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9.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75</v>
      </c>
      <c r="L32" s="47">
        <f t="shared" si="4"/>
        <v>0</v>
      </c>
      <c r="M32" s="49">
        <f t="shared" si="0"/>
        <v>0</v>
      </c>
    </row>
    <row r="33" spans="1:13" s="48" customFormat="1" ht="19.5">
      <c r="A33" s="43" t="s">
        <v>37</v>
      </c>
      <c r="B33" s="44" t="s">
        <v>14</v>
      </c>
      <c r="C33" s="37">
        <v>100</v>
      </c>
      <c r="D33" s="37">
        <v>110</v>
      </c>
      <c r="E33" s="37">
        <v>100</v>
      </c>
      <c r="F33" s="37">
        <v>110</v>
      </c>
      <c r="G33" s="37">
        <v>90</v>
      </c>
      <c r="H33" s="37">
        <v>100</v>
      </c>
      <c r="I33" s="46">
        <f t="shared" si="3"/>
        <v>10.526315789473683</v>
      </c>
      <c r="J33" s="37">
        <v>100</v>
      </c>
      <c r="K33" s="37">
        <v>115</v>
      </c>
      <c r="L33" s="47">
        <f t="shared" si="4"/>
        <v>-2.3255813953488373</v>
      </c>
      <c r="M33" s="49">
        <f t="shared" si="0"/>
        <v>0</v>
      </c>
    </row>
    <row r="34" spans="1:13" s="48" customFormat="1" ht="19.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18</v>
      </c>
      <c r="K34" s="37">
        <v>25</v>
      </c>
      <c r="L34" s="47">
        <f t="shared" si="4"/>
        <v>27.906976744186046</v>
      </c>
      <c r="M34" s="49">
        <f t="shared" si="0"/>
        <v>0</v>
      </c>
    </row>
    <row r="35" spans="1:13" s="27" customFormat="1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9.5">
      <c r="A36" s="43" t="s">
        <v>121</v>
      </c>
      <c r="B36" s="44" t="s">
        <v>14</v>
      </c>
      <c r="C36" s="39">
        <v>45</v>
      </c>
      <c r="D36" s="39">
        <v>50</v>
      </c>
      <c r="E36" s="39">
        <v>50</v>
      </c>
      <c r="F36" s="39">
        <v>55</v>
      </c>
      <c r="G36" s="39">
        <v>45</v>
      </c>
      <c r="H36" s="39">
        <v>55</v>
      </c>
      <c r="I36" s="46">
        <f t="shared" ref="I36:I51" si="5">((C36+D36)/2-(G36+H36)/2)/((G36+H36)/2)*100</f>
        <v>-5</v>
      </c>
      <c r="J36" s="37">
        <v>65</v>
      </c>
      <c r="K36" s="37">
        <v>80</v>
      </c>
      <c r="L36" s="47">
        <f t="shared" ref="L36:L50" si="6">((C36+D36)/2-(J36+K36)/2)/((J36+K36)/2)*100</f>
        <v>-34.482758620689658</v>
      </c>
      <c r="M36" s="49">
        <f>((C36+D36)/2-(E36+F36)/2)/((E36+F36)/2)*100</f>
        <v>-9.5238095238095237</v>
      </c>
    </row>
    <row r="37" spans="1:13" s="48" customFormat="1" ht="19.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9.5">
      <c r="A38" s="43" t="s">
        <v>40</v>
      </c>
      <c r="B38" s="44" t="s">
        <v>14</v>
      </c>
      <c r="C38" s="37">
        <v>100</v>
      </c>
      <c r="D38" s="37">
        <v>120</v>
      </c>
      <c r="E38" s="37">
        <v>100</v>
      </c>
      <c r="F38" s="37">
        <v>120</v>
      </c>
      <c r="G38" s="37">
        <v>70</v>
      </c>
      <c r="H38" s="37">
        <v>120</v>
      </c>
      <c r="I38" s="46">
        <f t="shared" si="5"/>
        <v>15.789473684210526</v>
      </c>
      <c r="J38" s="37">
        <v>100</v>
      </c>
      <c r="K38" s="37">
        <v>140</v>
      </c>
      <c r="L38" s="47">
        <f t="shared" si="6"/>
        <v>-8.3333333333333321</v>
      </c>
      <c r="M38" s="49">
        <f t="shared" si="0"/>
        <v>0</v>
      </c>
    </row>
    <row r="39" spans="1:13" s="48" customFormat="1" ht="19.5">
      <c r="A39" s="43" t="s">
        <v>41</v>
      </c>
      <c r="B39" s="44" t="s">
        <v>14</v>
      </c>
      <c r="C39" s="39">
        <v>160</v>
      </c>
      <c r="D39" s="37">
        <v>200</v>
      </c>
      <c r="E39" s="39">
        <v>180</v>
      </c>
      <c r="F39" s="37">
        <v>200</v>
      </c>
      <c r="G39" s="39">
        <v>140</v>
      </c>
      <c r="H39" s="37">
        <v>200</v>
      </c>
      <c r="I39" s="46">
        <f t="shared" si="5"/>
        <v>5.8823529411764701</v>
      </c>
      <c r="J39" s="37">
        <v>130</v>
      </c>
      <c r="K39" s="37">
        <v>200</v>
      </c>
      <c r="L39" s="47">
        <f t="shared" si="6"/>
        <v>9.0909090909090917</v>
      </c>
      <c r="M39" s="49">
        <f t="shared" si="0"/>
        <v>-5.2631578947368416</v>
      </c>
    </row>
    <row r="40" spans="1:13" s="48" customFormat="1" ht="19.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220</v>
      </c>
      <c r="K40" s="37">
        <v>350</v>
      </c>
      <c r="L40" s="47">
        <f t="shared" si="6"/>
        <v>22.807017543859647</v>
      </c>
      <c r="M40" s="49">
        <f t="shared" si="0"/>
        <v>0</v>
      </c>
    </row>
    <row r="41" spans="1:13" s="48" customFormat="1" ht="19.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320</v>
      </c>
      <c r="K41" s="37">
        <v>420</v>
      </c>
      <c r="L41" s="47">
        <f t="shared" si="6"/>
        <v>12.162162162162163</v>
      </c>
      <c r="M41" s="49">
        <f t="shared" si="0"/>
        <v>0</v>
      </c>
    </row>
    <row r="42" spans="1:13" s="48" customFormat="1" ht="19.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9.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9.5">
      <c r="A44" s="43" t="s">
        <v>46</v>
      </c>
      <c r="B44" s="44" t="s">
        <v>14</v>
      </c>
      <c r="C44" s="37">
        <v>120</v>
      </c>
      <c r="D44" s="37">
        <v>140</v>
      </c>
      <c r="E44" s="37">
        <v>120</v>
      </c>
      <c r="F44" s="37">
        <v>140</v>
      </c>
      <c r="G44" s="37">
        <v>130</v>
      </c>
      <c r="H44" s="37">
        <v>150</v>
      </c>
      <c r="I44" s="46">
        <f t="shared" si="5"/>
        <v>-7.1428571428571423</v>
      </c>
      <c r="J44" s="37">
        <v>0</v>
      </c>
      <c r="K44" s="37">
        <v>0</v>
      </c>
      <c r="L44" s="47" t="e">
        <f>((C44+D44)/2-(J44+K44)/2)/((J44+K44)/2)*100</f>
        <v>#DIV/0!</v>
      </c>
      <c r="M44" s="49">
        <f t="shared" si="0"/>
        <v>0</v>
      </c>
    </row>
    <row r="45" spans="1:13" s="48" customFormat="1" ht="19.5">
      <c r="A45" s="43" t="s">
        <v>47</v>
      </c>
      <c r="B45" s="44" t="s">
        <v>14</v>
      </c>
      <c r="C45" s="37">
        <v>120</v>
      </c>
      <c r="D45" s="37">
        <v>160</v>
      </c>
      <c r="E45" s="37">
        <v>120</v>
      </c>
      <c r="F45" s="37">
        <v>160</v>
      </c>
      <c r="G45" s="37">
        <v>120</v>
      </c>
      <c r="H45" s="37">
        <v>170</v>
      </c>
      <c r="I45" s="46">
        <f t="shared" si="5"/>
        <v>-3.4482758620689653</v>
      </c>
      <c r="J45" s="37">
        <v>140</v>
      </c>
      <c r="K45" s="37">
        <v>250</v>
      </c>
      <c r="L45" s="47">
        <f t="shared" si="6"/>
        <v>-28.205128205128204</v>
      </c>
      <c r="M45" s="49">
        <f t="shared" si="0"/>
        <v>0</v>
      </c>
    </row>
    <row r="46" spans="1:13" s="48" customFormat="1" ht="19.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550</v>
      </c>
      <c r="H46" s="37">
        <v>650</v>
      </c>
      <c r="I46" s="46">
        <f t="shared" si="5"/>
        <v>0</v>
      </c>
      <c r="J46" s="37">
        <v>600</v>
      </c>
      <c r="K46" s="37">
        <v>750</v>
      </c>
      <c r="L46" s="47">
        <f t="shared" si="6"/>
        <v>-11.111111111111111</v>
      </c>
      <c r="M46" s="49">
        <f t="shared" si="0"/>
        <v>0</v>
      </c>
    </row>
    <row r="47" spans="1:13" s="48" customFormat="1" ht="19.5">
      <c r="A47" s="43" t="s">
        <v>49</v>
      </c>
      <c r="B47" s="44" t="s">
        <v>14</v>
      </c>
      <c r="C47" s="37">
        <v>500</v>
      </c>
      <c r="D47" s="37">
        <v>600</v>
      </c>
      <c r="E47" s="37">
        <v>500</v>
      </c>
      <c r="F47" s="37">
        <v>600</v>
      </c>
      <c r="G47" s="37">
        <v>500</v>
      </c>
      <c r="H47" s="37">
        <v>600</v>
      </c>
      <c r="I47" s="46">
        <f t="shared" si="5"/>
        <v>0</v>
      </c>
      <c r="J47" s="37">
        <v>480</v>
      </c>
      <c r="K47" s="37">
        <v>600</v>
      </c>
      <c r="L47" s="47">
        <f t="shared" si="6"/>
        <v>1.8518518518518516</v>
      </c>
      <c r="M47" s="49">
        <f t="shared" si="0"/>
        <v>0</v>
      </c>
    </row>
    <row r="48" spans="1:13" s="48" customFormat="1" ht="19.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1450</v>
      </c>
      <c r="H48" s="37">
        <v>1600</v>
      </c>
      <c r="I48" s="46">
        <f t="shared" si="5"/>
        <v>0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9.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9.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180</v>
      </c>
      <c r="H50" s="37">
        <v>260</v>
      </c>
      <c r="I50" s="46">
        <f t="shared" si="5"/>
        <v>2.2727272727272729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9.5">
      <c r="A51" s="43" t="s">
        <v>53</v>
      </c>
      <c r="B51" s="44" t="s">
        <v>14</v>
      </c>
      <c r="C51" s="37">
        <v>250</v>
      </c>
      <c r="D51" s="37">
        <v>300</v>
      </c>
      <c r="E51" s="37">
        <v>250</v>
      </c>
      <c r="F51" s="37">
        <v>300</v>
      </c>
      <c r="G51" s="37">
        <v>190</v>
      </c>
      <c r="H51" s="37">
        <v>240</v>
      </c>
      <c r="I51" s="46">
        <f t="shared" si="5"/>
        <v>27.906976744186046</v>
      </c>
      <c r="J51" s="37">
        <v>200</v>
      </c>
      <c r="K51" s="37">
        <v>225</v>
      </c>
      <c r="L51" s="47">
        <f>((C51+D51)/2-(J51+K51)/2)/((J51+K51)/2)*100</f>
        <v>29.411764705882355</v>
      </c>
      <c r="M51" s="49">
        <f t="shared" si="0"/>
        <v>0</v>
      </c>
    </row>
    <row r="52" spans="1:13" s="27" customFormat="1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9.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9.5">
      <c r="A54" s="43" t="s">
        <v>56</v>
      </c>
      <c r="B54" s="44" t="s">
        <v>14</v>
      </c>
      <c r="C54" s="37">
        <v>800</v>
      </c>
      <c r="D54" s="37">
        <v>1800</v>
      </c>
      <c r="E54" s="37">
        <v>800</v>
      </c>
      <c r="F54" s="37">
        <v>1800</v>
      </c>
      <c r="G54" s="37">
        <v>800</v>
      </c>
      <c r="H54" s="37">
        <v>1800</v>
      </c>
      <c r="I54" s="46">
        <f t="shared" si="7"/>
        <v>0</v>
      </c>
      <c r="J54" s="37">
        <v>900</v>
      </c>
      <c r="K54" s="37">
        <v>2200</v>
      </c>
      <c r="L54" s="47">
        <f t="shared" si="8"/>
        <v>-16.129032258064516</v>
      </c>
      <c r="M54" s="49">
        <f t="shared" si="0"/>
        <v>0</v>
      </c>
    </row>
    <row r="55" spans="1:13" s="48" customFormat="1" ht="19.5">
      <c r="A55" s="43" t="s">
        <v>84</v>
      </c>
      <c r="B55" s="44" t="s">
        <v>14</v>
      </c>
      <c r="C55" s="37">
        <v>800</v>
      </c>
      <c r="D55" s="37">
        <v>850</v>
      </c>
      <c r="E55" s="37">
        <v>780</v>
      </c>
      <c r="F55" s="37">
        <v>850</v>
      </c>
      <c r="G55" s="37">
        <v>780</v>
      </c>
      <c r="H55" s="37">
        <v>850</v>
      </c>
      <c r="I55" s="46">
        <f t="shared" si="7"/>
        <v>1.2269938650306749</v>
      </c>
      <c r="J55" s="37">
        <v>750</v>
      </c>
      <c r="K55" s="37">
        <v>800</v>
      </c>
      <c r="L55" s="47">
        <f t="shared" si="8"/>
        <v>6.4516129032258061</v>
      </c>
      <c r="M55" s="49">
        <f t="shared" si="0"/>
        <v>1.2269938650306749</v>
      </c>
    </row>
    <row r="56" spans="1:13" s="48" customFormat="1" ht="19.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9.5">
      <c r="A57" s="43" t="s">
        <v>57</v>
      </c>
      <c r="B57" s="44" t="s">
        <v>14</v>
      </c>
      <c r="C57" s="37">
        <v>170</v>
      </c>
      <c r="D57" s="37">
        <v>190</v>
      </c>
      <c r="E57" s="37">
        <v>180</v>
      </c>
      <c r="F57" s="37">
        <v>200</v>
      </c>
      <c r="G57" s="37">
        <v>180</v>
      </c>
      <c r="H57" s="37">
        <v>200</v>
      </c>
      <c r="I57" s="46">
        <f t="shared" si="7"/>
        <v>-5.2631578947368416</v>
      </c>
      <c r="J57" s="37">
        <v>160</v>
      </c>
      <c r="K57" s="37">
        <v>185</v>
      </c>
      <c r="L57" s="47">
        <f t="shared" si="8"/>
        <v>4.3478260869565215</v>
      </c>
      <c r="M57" s="49">
        <f t="shared" si="0"/>
        <v>-5.2631578947368416</v>
      </c>
    </row>
    <row r="58" spans="1:13" s="48" customFormat="1" ht="19.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>
      <c r="A60" s="43" t="s">
        <v>60</v>
      </c>
      <c r="B60" s="44" t="s">
        <v>61</v>
      </c>
      <c r="C60" s="37">
        <v>850</v>
      </c>
      <c r="D60" s="37">
        <v>950</v>
      </c>
      <c r="E60" s="37">
        <v>830</v>
      </c>
      <c r="F60" s="37">
        <v>950</v>
      </c>
      <c r="G60" s="37">
        <v>830</v>
      </c>
      <c r="H60" s="37">
        <v>950</v>
      </c>
      <c r="I60" s="46">
        <f>((C60+D60)/2-(G60+H60)/2)/((G60+H60)/2)*100</f>
        <v>1.1235955056179776</v>
      </c>
      <c r="J60" s="37">
        <v>720</v>
      </c>
      <c r="K60" s="37">
        <v>860</v>
      </c>
      <c r="L60" s="47">
        <f t="shared" si="8"/>
        <v>13.924050632911392</v>
      </c>
      <c r="M60" s="49">
        <f t="shared" si="0"/>
        <v>1.1235955056179776</v>
      </c>
    </row>
    <row r="61" spans="1:13" s="48" customFormat="1" ht="20.25" customHeight="1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>
      <c r="A64" s="67"/>
      <c r="B64" s="68"/>
      <c r="C64" s="56"/>
      <c r="D64" s="71"/>
      <c r="E64" s="56"/>
      <c r="F64" s="71"/>
      <c r="G64" s="71"/>
      <c r="H64" s="71"/>
      <c r="I64" s="69"/>
      <c r="J64" s="56"/>
      <c r="K64" s="56"/>
      <c r="L64" s="70"/>
      <c r="M64" s="49"/>
    </row>
    <row r="65" spans="1:13" s="48" customFormat="1" ht="25.5" customHeight="1">
      <c r="A65" s="67"/>
      <c r="B65" s="68"/>
      <c r="C65" s="56"/>
      <c r="D65" s="56"/>
      <c r="E65" s="56"/>
      <c r="F65" s="56"/>
      <c r="G65" s="56"/>
      <c r="H65" s="56"/>
      <c r="I65" s="69"/>
      <c r="J65" s="56"/>
      <c r="K65" s="56"/>
      <c r="L65" s="70"/>
      <c r="M65" s="49"/>
    </row>
    <row r="66" spans="1:13" s="48" customFormat="1" ht="25.5" customHeight="1">
      <c r="A66" s="67"/>
      <c r="B66" s="68"/>
      <c r="C66" s="56"/>
      <c r="D66" s="56"/>
      <c r="E66" s="56"/>
      <c r="F66" s="56"/>
      <c r="G66" s="56"/>
      <c r="H66" s="56"/>
      <c r="I66" s="69"/>
      <c r="J66" s="56"/>
      <c r="K66" s="56"/>
      <c r="L66" s="70"/>
      <c r="M66" s="49"/>
    </row>
    <row r="67" spans="1:13" s="48" customFormat="1" ht="25.5" customHeight="1">
      <c r="A67" s="67"/>
      <c r="B67" s="68"/>
      <c r="C67" s="56"/>
      <c r="D67" s="56"/>
      <c r="E67" s="56"/>
      <c r="F67" s="56"/>
      <c r="G67" s="56"/>
      <c r="H67" s="56"/>
      <c r="I67" s="69"/>
      <c r="J67" s="56"/>
      <c r="K67" s="56"/>
      <c r="L67" s="70"/>
      <c r="M67" s="49"/>
    </row>
    <row r="68" spans="1:13">
      <c r="A68" s="88" t="s">
        <v>1</v>
      </c>
      <c r="B68" s="88" t="s">
        <v>2</v>
      </c>
      <c r="C68" s="76" t="s">
        <v>3</v>
      </c>
      <c r="D68" s="78"/>
      <c r="E68" s="76" t="s">
        <v>4</v>
      </c>
      <c r="F68" s="78"/>
      <c r="G68" s="76" t="s">
        <v>5</v>
      </c>
      <c r="H68" s="78"/>
      <c r="I68" s="24" t="s">
        <v>6</v>
      </c>
      <c r="J68" s="76" t="s">
        <v>7</v>
      </c>
      <c r="K68" s="78"/>
      <c r="L68" s="24" t="s">
        <v>8</v>
      </c>
    </row>
    <row r="69" spans="1:13" ht="18" customHeight="1">
      <c r="A69" s="89"/>
      <c r="B69" s="89"/>
      <c r="C69" s="92">
        <v>46294</v>
      </c>
      <c r="D69" s="93"/>
      <c r="E69" s="92">
        <v>46287</v>
      </c>
      <c r="F69" s="93"/>
      <c r="G69" s="92">
        <v>46263</v>
      </c>
      <c r="H69" s="93"/>
      <c r="I69" s="24" t="s">
        <v>9</v>
      </c>
      <c r="J69" s="90">
        <v>45929</v>
      </c>
      <c r="K69" s="91"/>
      <c r="L69" s="24" t="s">
        <v>9</v>
      </c>
    </row>
    <row r="70" spans="1:1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2" t="s">
        <v>10</v>
      </c>
      <c r="K70" s="62" t="s">
        <v>11</v>
      </c>
      <c r="L70" s="29" t="s">
        <v>12</v>
      </c>
    </row>
    <row r="71" spans="1:13" s="49" customFormat="1" ht="18.75" customHeight="1">
      <c r="A71" s="43" t="s">
        <v>66</v>
      </c>
      <c r="B71" s="44" t="s">
        <v>14</v>
      </c>
      <c r="C71" s="37">
        <v>110</v>
      </c>
      <c r="D71" s="37">
        <v>115</v>
      </c>
      <c r="E71" s="37">
        <v>110</v>
      </c>
      <c r="F71" s="37">
        <v>115</v>
      </c>
      <c r="G71" s="37">
        <v>110</v>
      </c>
      <c r="H71" s="37">
        <v>120</v>
      </c>
      <c r="I71" s="46">
        <f>((C71+D71)/2-(G71+H71)/2)/((G71+H71)/2)*100</f>
        <v>-2.1739130434782608</v>
      </c>
      <c r="J71" s="37">
        <v>105</v>
      </c>
      <c r="K71" s="37">
        <v>115</v>
      </c>
      <c r="L71" s="47">
        <f t="shared" ref="L71:L77" si="9">((C71+D71)/2-(J71+K71)/2)/((J71+K71)/2)*100</f>
        <v>2.2727272727272729</v>
      </c>
      <c r="M71" s="49">
        <f t="shared" si="0"/>
        <v>0</v>
      </c>
    </row>
    <row r="72" spans="1:13" s="49" customFormat="1" ht="19.5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10">((C72+D72)/2-(G72+H72)/2)/((G72+H72)/2)*100</f>
        <v>0</v>
      </c>
      <c r="J72" s="37">
        <v>220</v>
      </c>
      <c r="K72" s="37">
        <v>550</v>
      </c>
      <c r="L72" s="47">
        <f t="shared" si="9"/>
        <v>16.883116883116884</v>
      </c>
      <c r="M72" s="49">
        <f t="shared" si="0"/>
        <v>0</v>
      </c>
    </row>
    <row r="73" spans="1:13" s="49" customFormat="1" ht="19.5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10"/>
        <v>0</v>
      </c>
      <c r="J73" s="37">
        <v>38</v>
      </c>
      <c r="K73" s="37">
        <v>42</v>
      </c>
      <c r="L73" s="47">
        <f t="shared" si="9"/>
        <v>2.5</v>
      </c>
      <c r="M73" s="49">
        <f t="shared" si="0"/>
        <v>0</v>
      </c>
    </row>
    <row r="74" spans="1:13" s="49" customFormat="1" ht="19.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25</v>
      </c>
      <c r="I74" s="46">
        <f t="shared" si="10"/>
        <v>11.111111111111111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9.5">
      <c r="A75" s="43" t="s">
        <v>102</v>
      </c>
      <c r="B75" s="50" t="s">
        <v>14</v>
      </c>
      <c r="C75" s="37">
        <v>120</v>
      </c>
      <c r="D75" s="37">
        <v>180</v>
      </c>
      <c r="E75" s="37">
        <v>120</v>
      </c>
      <c r="F75" s="37">
        <v>160</v>
      </c>
      <c r="G75" s="37">
        <v>120</v>
      </c>
      <c r="H75" s="37">
        <v>140</v>
      </c>
      <c r="I75" s="46">
        <f t="shared" si="10"/>
        <v>15.384615384615385</v>
      </c>
      <c r="J75" s="45">
        <v>160</v>
      </c>
      <c r="K75" s="45">
        <v>200</v>
      </c>
      <c r="L75" s="47">
        <f t="shared" si="9"/>
        <v>-16.666666666666664</v>
      </c>
      <c r="M75" s="49">
        <f t="shared" si="11"/>
        <v>7.1428571428571423</v>
      </c>
    </row>
    <row r="76" spans="1:13" s="49" customFormat="1" ht="19.5">
      <c r="A76" s="43" t="s">
        <v>103</v>
      </c>
      <c r="B76" s="50" t="s">
        <v>14</v>
      </c>
      <c r="C76" s="37">
        <v>80</v>
      </c>
      <c r="D76" s="37">
        <v>120</v>
      </c>
      <c r="E76" s="37">
        <v>90</v>
      </c>
      <c r="F76" s="37">
        <v>120</v>
      </c>
      <c r="G76" s="37">
        <v>80</v>
      </c>
      <c r="H76" s="37">
        <v>100</v>
      </c>
      <c r="I76" s="46">
        <f t="shared" si="10"/>
        <v>11.111111111111111</v>
      </c>
      <c r="J76" s="45">
        <v>80</v>
      </c>
      <c r="K76" s="45">
        <v>120</v>
      </c>
      <c r="L76" s="47">
        <f t="shared" si="9"/>
        <v>0</v>
      </c>
      <c r="M76" s="49">
        <f t="shared" si="11"/>
        <v>-4.7619047619047619</v>
      </c>
    </row>
    <row r="77" spans="1:13" s="49" customFormat="1" ht="19.5">
      <c r="A77" s="43" t="s">
        <v>104</v>
      </c>
      <c r="B77" s="50" t="s">
        <v>14</v>
      </c>
      <c r="C77" s="37">
        <v>50</v>
      </c>
      <c r="D77" s="37">
        <v>80</v>
      </c>
      <c r="E77" s="37">
        <v>50</v>
      </c>
      <c r="F77" s="37">
        <v>80</v>
      </c>
      <c r="G77" s="37">
        <v>40</v>
      </c>
      <c r="H77" s="37">
        <v>60</v>
      </c>
      <c r="I77" s="46">
        <f t="shared" si="10"/>
        <v>30</v>
      </c>
      <c r="J77" s="45">
        <v>60</v>
      </c>
      <c r="K77" s="45">
        <v>80</v>
      </c>
      <c r="L77" s="47">
        <f t="shared" si="9"/>
        <v>-7.1428571428571423</v>
      </c>
      <c r="M77" s="49">
        <f t="shared" si="11"/>
        <v>0</v>
      </c>
    </row>
    <row r="78" spans="1:13" s="49" customFormat="1" ht="18.75" customHeight="1">
      <c r="A78" s="43" t="s">
        <v>68</v>
      </c>
      <c r="B78" s="44" t="s">
        <v>69</v>
      </c>
      <c r="C78" s="42">
        <v>50</v>
      </c>
      <c r="D78" s="42">
        <v>55</v>
      </c>
      <c r="E78" s="42">
        <v>48</v>
      </c>
      <c r="F78" s="42">
        <v>55</v>
      </c>
      <c r="G78" s="42">
        <v>48</v>
      </c>
      <c r="H78" s="42">
        <v>50</v>
      </c>
      <c r="I78" s="46">
        <f t="shared" si="10"/>
        <v>7.1428571428571423</v>
      </c>
      <c r="J78" s="42">
        <v>45</v>
      </c>
      <c r="K78" s="42">
        <v>50</v>
      </c>
      <c r="L78" s="47">
        <f>((C78+D78)/2-(J78+K78)/2)/((J78+K78)/2)*100</f>
        <v>10.526315789473683</v>
      </c>
      <c r="M78" s="49">
        <f t="shared" si="11"/>
        <v>1.9417475728155338</v>
      </c>
    </row>
    <row r="79" spans="1:13" s="49" customFormat="1" ht="19.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10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9.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10"/>
        <v>0</v>
      </c>
      <c r="J80" s="37">
        <v>83500</v>
      </c>
      <c r="K80" s="37">
        <v>86000</v>
      </c>
      <c r="L80" s="47">
        <f>((C80+D80)/2-(J80+K80)/2)/((J80+K80)/2)*100</f>
        <v>10.32448377581121</v>
      </c>
      <c r="M80" s="49">
        <f t="shared" si="11"/>
        <v>0</v>
      </c>
    </row>
    <row r="81" spans="1:13" s="49" customFormat="1" ht="19.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10"/>
        <v>0</v>
      </c>
      <c r="J81" s="37">
        <v>75000</v>
      </c>
      <c r="K81" s="42">
        <v>79000</v>
      </c>
      <c r="L81" s="47">
        <f>((C81+D81)/2-(J81+K81)/2)/((J81+K81)/2)*100</f>
        <v>16.883116883116884</v>
      </c>
      <c r="M81" s="49">
        <f t="shared" si="11"/>
        <v>0</v>
      </c>
    </row>
    <row r="82" spans="1:13" ht="39" customHeight="1">
      <c r="A82" s="94" t="s">
        <v>117</v>
      </c>
      <c r="B82" s="95"/>
      <c r="C82" s="79" t="s">
        <v>132</v>
      </c>
      <c r="D82" s="79"/>
      <c r="E82" s="79"/>
      <c r="F82" s="79"/>
      <c r="G82" s="79"/>
      <c r="H82" s="79"/>
      <c r="I82" s="79"/>
      <c r="J82" s="79"/>
      <c r="K82" s="79"/>
      <c r="L82" s="79"/>
    </row>
    <row r="83" spans="1:1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6"/>
      <c r="B84" s="80" t="s">
        <v>135</v>
      </c>
      <c r="C84" s="80"/>
      <c r="D84" s="80"/>
      <c r="E84" s="80"/>
      <c r="F84" s="80"/>
      <c r="G84" s="80"/>
      <c r="H84" s="80"/>
      <c r="I84" s="80"/>
      <c r="J84" s="80"/>
      <c r="K84" s="80"/>
      <c r="L84" s="80"/>
    </row>
    <row r="85" spans="1:13">
      <c r="A85" s="65"/>
      <c r="B85" s="65" t="s">
        <v>131</v>
      </c>
      <c r="C85" s="65"/>
      <c r="D85" s="65"/>
      <c r="E85" s="65"/>
      <c r="F85" s="65"/>
      <c r="G85" s="65"/>
      <c r="H85" s="65"/>
      <c r="I85" s="65"/>
      <c r="J85" s="65"/>
      <c r="K85" s="65"/>
      <c r="L85" s="65"/>
    </row>
    <row r="86" spans="1:13">
      <c r="A86" s="65"/>
      <c r="B86" s="80" t="s">
        <v>136</v>
      </c>
      <c r="C86" s="80"/>
      <c r="D86" s="80"/>
      <c r="E86" s="80"/>
      <c r="F86" s="80"/>
      <c r="G86" s="80"/>
      <c r="H86" s="80"/>
      <c r="I86" s="80"/>
      <c r="J86" s="80"/>
      <c r="K86" s="80"/>
      <c r="L86" s="80"/>
    </row>
    <row r="87" spans="1:13">
      <c r="A87" s="6"/>
      <c r="B87" s="6" t="s">
        <v>122</v>
      </c>
      <c r="C87" s="2"/>
      <c r="D87" s="2"/>
      <c r="E87" s="2"/>
      <c r="F87" s="2"/>
      <c r="G87" s="1"/>
      <c r="H87" s="1"/>
      <c r="I87" s="1"/>
      <c r="J87" s="1"/>
      <c r="K87" s="2"/>
      <c r="L87" s="1"/>
    </row>
    <row r="88" spans="1:13">
      <c r="A88" s="6" t="s">
        <v>75</v>
      </c>
      <c r="B88" s="2"/>
      <c r="C88" s="1"/>
      <c r="D88" s="1"/>
      <c r="E88" s="1"/>
      <c r="F88" s="1"/>
      <c r="G88" s="8"/>
      <c r="H88" s="8"/>
      <c r="I88" s="1"/>
      <c r="J88" s="1"/>
      <c r="K88" s="1"/>
      <c r="L88" s="1"/>
    </row>
    <row r="89" spans="1:13">
      <c r="A89" s="23" t="s">
        <v>76</v>
      </c>
      <c r="B89" s="24" t="s">
        <v>77</v>
      </c>
      <c r="C89" s="76" t="s">
        <v>3</v>
      </c>
      <c r="D89" s="78"/>
      <c r="E89" s="81" t="s">
        <v>78</v>
      </c>
      <c r="F89" s="82"/>
      <c r="G89" s="25" t="s">
        <v>9</v>
      </c>
      <c r="H89" s="76" t="s">
        <v>79</v>
      </c>
      <c r="I89" s="77"/>
      <c r="J89" s="78"/>
      <c r="K89" s="9"/>
      <c r="L89" s="2"/>
    </row>
    <row r="90" spans="1:13">
      <c r="A90" s="43" t="s">
        <v>13</v>
      </c>
      <c r="B90" s="44" t="s">
        <v>14</v>
      </c>
      <c r="C90" s="37">
        <v>72</v>
      </c>
      <c r="D90" s="37">
        <v>85</v>
      </c>
      <c r="E90" s="37">
        <v>70</v>
      </c>
      <c r="F90" s="37">
        <v>85</v>
      </c>
      <c r="G90" s="30">
        <f t="shared" ref="G90:G101" si="12">((C90+D90)/2-(E90+F90)/2)/((E90+F90)/2)*100</f>
        <v>1.2903225806451613</v>
      </c>
      <c r="H90" s="76" t="s">
        <v>133</v>
      </c>
      <c r="I90" s="77"/>
      <c r="J90" s="78"/>
      <c r="K90" s="9"/>
      <c r="L90" s="75"/>
    </row>
    <row r="91" spans="1:13">
      <c r="A91" s="43" t="s">
        <v>93</v>
      </c>
      <c r="B91" s="44" t="s">
        <v>14</v>
      </c>
      <c r="C91" s="37">
        <v>58</v>
      </c>
      <c r="D91" s="37">
        <v>65</v>
      </c>
      <c r="E91" s="37">
        <v>55</v>
      </c>
      <c r="F91" s="37">
        <v>65</v>
      </c>
      <c r="G91" s="30">
        <f t="shared" si="12"/>
        <v>2.5</v>
      </c>
      <c r="H91" s="76" t="s">
        <v>125</v>
      </c>
      <c r="I91" s="77"/>
      <c r="J91" s="78"/>
      <c r="K91" s="9"/>
      <c r="L91" s="73"/>
    </row>
    <row r="92" spans="1:13">
      <c r="A92" s="43" t="s">
        <v>18</v>
      </c>
      <c r="B92" s="44" t="s">
        <v>19</v>
      </c>
      <c r="C92" s="37">
        <v>65</v>
      </c>
      <c r="D92" s="37">
        <v>70</v>
      </c>
      <c r="E92" s="37">
        <v>60</v>
      </c>
      <c r="F92" s="37">
        <v>70</v>
      </c>
      <c r="G92" s="30">
        <f t="shared" si="12"/>
        <v>3.8461538461538463</v>
      </c>
      <c r="H92" s="76" t="s">
        <v>124</v>
      </c>
      <c r="I92" s="77"/>
      <c r="J92" s="78"/>
      <c r="K92" s="9"/>
      <c r="L92" s="72"/>
    </row>
    <row r="93" spans="1:13">
      <c r="A93" s="43" t="s">
        <v>21</v>
      </c>
      <c r="B93" s="44" t="s">
        <v>19</v>
      </c>
      <c r="C93" s="37">
        <v>85</v>
      </c>
      <c r="D93" s="37">
        <v>90</v>
      </c>
      <c r="E93" s="37">
        <v>80</v>
      </c>
      <c r="F93" s="37">
        <v>90</v>
      </c>
      <c r="G93" s="30">
        <f t="shared" si="12"/>
        <v>2.9411764705882351</v>
      </c>
      <c r="H93" s="76" t="s">
        <v>123</v>
      </c>
      <c r="I93" s="77"/>
      <c r="J93" s="78"/>
      <c r="K93" s="9"/>
      <c r="L93" s="64"/>
    </row>
    <row r="94" spans="1:13">
      <c r="A94" s="43" t="s">
        <v>23</v>
      </c>
      <c r="B94" s="44" t="s">
        <v>24</v>
      </c>
      <c r="C94" s="39">
        <v>190</v>
      </c>
      <c r="D94" s="37">
        <v>195</v>
      </c>
      <c r="E94" s="39">
        <v>186</v>
      </c>
      <c r="F94" s="37">
        <v>195</v>
      </c>
      <c r="G94" s="30">
        <f t="shared" si="12"/>
        <v>1.0498687664041995</v>
      </c>
      <c r="H94" s="76" t="s">
        <v>128</v>
      </c>
      <c r="I94" s="77"/>
      <c r="J94" s="78"/>
      <c r="K94" s="9"/>
      <c r="L94" s="74"/>
    </row>
    <row r="95" spans="1:13">
      <c r="A95" s="43" t="s">
        <v>29</v>
      </c>
      <c r="B95" s="44" t="s">
        <v>24</v>
      </c>
      <c r="C95" s="37">
        <v>170</v>
      </c>
      <c r="D95" s="37">
        <v>175</v>
      </c>
      <c r="E95" s="37">
        <v>170</v>
      </c>
      <c r="F95" s="37">
        <v>172</v>
      </c>
      <c r="G95" s="30">
        <f t="shared" si="12"/>
        <v>0.8771929824561403</v>
      </c>
      <c r="H95" s="76" t="s">
        <v>129</v>
      </c>
      <c r="I95" s="77"/>
      <c r="J95" s="78"/>
      <c r="K95" s="9"/>
      <c r="L95" s="2"/>
    </row>
    <row r="96" spans="1:13">
      <c r="A96" s="43" t="s">
        <v>121</v>
      </c>
      <c r="B96" s="44" t="s">
        <v>14</v>
      </c>
      <c r="C96" s="39">
        <v>45</v>
      </c>
      <c r="D96" s="39">
        <v>50</v>
      </c>
      <c r="E96" s="39">
        <v>50</v>
      </c>
      <c r="F96" s="39">
        <v>55</v>
      </c>
      <c r="G96" s="30">
        <f t="shared" si="12"/>
        <v>-9.5238095238095237</v>
      </c>
      <c r="H96" s="76" t="s">
        <v>130</v>
      </c>
      <c r="I96" s="77"/>
      <c r="J96" s="78"/>
      <c r="K96" s="9"/>
      <c r="L96" s="74"/>
    </row>
    <row r="97" spans="1:12">
      <c r="A97" s="43" t="s">
        <v>41</v>
      </c>
      <c r="B97" s="44" t="s">
        <v>14</v>
      </c>
      <c r="C97" s="39">
        <v>160</v>
      </c>
      <c r="D97" s="37">
        <v>200</v>
      </c>
      <c r="E97" s="39">
        <v>180</v>
      </c>
      <c r="F97" s="37">
        <v>200</v>
      </c>
      <c r="G97" s="30">
        <f t="shared" si="12"/>
        <v>-5.2631578947368416</v>
      </c>
      <c r="H97" s="76" t="s">
        <v>126</v>
      </c>
      <c r="I97" s="77"/>
      <c r="J97" s="78"/>
      <c r="K97" s="9"/>
      <c r="L97" s="74"/>
    </row>
    <row r="98" spans="1:12">
      <c r="A98" s="43" t="s">
        <v>57</v>
      </c>
      <c r="B98" s="44" t="s">
        <v>14</v>
      </c>
      <c r="C98" s="37">
        <v>170</v>
      </c>
      <c r="D98" s="37">
        <v>190</v>
      </c>
      <c r="E98" s="37">
        <v>180</v>
      </c>
      <c r="F98" s="37">
        <v>200</v>
      </c>
      <c r="G98" s="30">
        <f t="shared" si="12"/>
        <v>-5.2631578947368416</v>
      </c>
      <c r="H98" s="76" t="s">
        <v>134</v>
      </c>
      <c r="I98" s="77"/>
      <c r="J98" s="78"/>
      <c r="K98" s="9"/>
      <c r="L98" s="74"/>
    </row>
    <row r="99" spans="1:12">
      <c r="A99" s="43" t="s">
        <v>102</v>
      </c>
      <c r="B99" s="50" t="s">
        <v>14</v>
      </c>
      <c r="C99" s="37">
        <v>120</v>
      </c>
      <c r="D99" s="37">
        <v>180</v>
      </c>
      <c r="E99" s="37">
        <v>120</v>
      </c>
      <c r="F99" s="37">
        <v>160</v>
      </c>
      <c r="G99" s="30">
        <f t="shared" si="12"/>
        <v>7.1428571428571423</v>
      </c>
      <c r="H99" s="76" t="s">
        <v>127</v>
      </c>
      <c r="I99" s="77"/>
      <c r="J99" s="78"/>
      <c r="K99" s="9"/>
      <c r="L99" s="66"/>
    </row>
    <row r="100" spans="1:12">
      <c r="A100" s="43" t="s">
        <v>103</v>
      </c>
      <c r="B100" s="50" t="s">
        <v>14</v>
      </c>
      <c r="C100" s="37">
        <v>80</v>
      </c>
      <c r="D100" s="37">
        <v>120</v>
      </c>
      <c r="E100" s="37">
        <v>90</v>
      </c>
      <c r="F100" s="37">
        <v>120</v>
      </c>
      <c r="G100" s="30">
        <f t="shared" si="12"/>
        <v>-4.7619047619047619</v>
      </c>
      <c r="H100" s="76" t="s">
        <v>134</v>
      </c>
      <c r="I100" s="77"/>
      <c r="J100" s="78"/>
      <c r="K100" s="9"/>
      <c r="L100" s="75"/>
    </row>
    <row r="101" spans="1:12">
      <c r="A101" s="43" t="s">
        <v>68</v>
      </c>
      <c r="B101" s="44" t="s">
        <v>69</v>
      </c>
      <c r="C101" s="42">
        <v>50</v>
      </c>
      <c r="D101" s="42">
        <v>55</v>
      </c>
      <c r="E101" s="42">
        <v>48</v>
      </c>
      <c r="F101" s="42">
        <v>55</v>
      </c>
      <c r="G101" s="30">
        <f t="shared" si="12"/>
        <v>1.9417475728155338</v>
      </c>
      <c r="H101" s="76" t="s">
        <v>125</v>
      </c>
      <c r="I101" s="77"/>
      <c r="J101" s="78"/>
      <c r="K101" s="9"/>
      <c r="L101" s="63"/>
    </row>
    <row r="102" spans="1:12">
      <c r="A102" s="54"/>
      <c r="B102" s="61"/>
      <c r="C102" s="56"/>
      <c r="D102" s="56"/>
      <c r="E102" s="56"/>
      <c r="F102" s="56"/>
      <c r="G102" s="58"/>
      <c r="H102" s="59"/>
      <c r="I102" s="59"/>
      <c r="J102" s="59"/>
      <c r="K102" s="9"/>
      <c r="L102" s="2"/>
    </row>
    <row r="103" spans="1:12">
      <c r="A103" s="54"/>
      <c r="B103" s="55"/>
      <c r="C103" s="56"/>
      <c r="D103" s="57"/>
      <c r="E103" s="56"/>
      <c r="F103" s="57"/>
      <c r="G103" s="58"/>
      <c r="H103" s="6"/>
      <c r="I103" s="1"/>
      <c r="J103" s="1"/>
      <c r="K103" s="9"/>
      <c r="L103" s="11"/>
    </row>
    <row r="104" spans="1:12">
      <c r="A104" s="6"/>
      <c r="B104" s="12"/>
      <c r="C104" s="3"/>
      <c r="D104" s="3"/>
      <c r="E104" s="3"/>
      <c r="F104" s="3"/>
      <c r="G104" s="4"/>
      <c r="H104" s="6"/>
      <c r="I104" s="1"/>
      <c r="J104" s="1"/>
      <c r="K104" s="11"/>
      <c r="L104" s="11"/>
    </row>
    <row r="105" spans="1:12">
      <c r="A105" s="6"/>
      <c r="B105" s="13" t="s">
        <v>110</v>
      </c>
      <c r="C105" s="2"/>
      <c r="E105" s="6"/>
      <c r="F105" s="13" t="s">
        <v>119</v>
      </c>
      <c r="G105" s="2"/>
      <c r="I105" s="14"/>
      <c r="J105" s="1"/>
      <c r="K105" s="2"/>
      <c r="L105" s="11"/>
    </row>
    <row r="106" spans="1:12">
      <c r="A106" s="15"/>
      <c r="B106" s="13" t="s">
        <v>109</v>
      </c>
      <c r="C106" s="1"/>
      <c r="E106" s="15"/>
      <c r="F106" s="13" t="s">
        <v>120</v>
      </c>
      <c r="G106" s="1"/>
      <c r="I106" s="2"/>
      <c r="J106" s="1"/>
      <c r="L106" s="11"/>
    </row>
    <row r="107" spans="1:12">
      <c r="A107" s="6"/>
      <c r="C107" s="5"/>
      <c r="D107" s="5"/>
      <c r="E107" s="1"/>
      <c r="F107" s="5"/>
      <c r="G107" s="4"/>
      <c r="H107" s="16"/>
      <c r="I107" s="11"/>
      <c r="J107" s="11"/>
      <c r="K107" s="11"/>
      <c r="L107" s="11"/>
    </row>
    <row r="108" spans="1:12">
      <c r="A108" s="17" t="s">
        <v>86</v>
      </c>
      <c r="B108" s="18"/>
      <c r="C108" s="19"/>
      <c r="D108" s="18"/>
      <c r="E108" s="19"/>
      <c r="F108" s="19"/>
      <c r="G108" s="19"/>
      <c r="H108" s="20"/>
      <c r="I108" s="2"/>
      <c r="J108" s="2"/>
      <c r="K108" s="2"/>
      <c r="L108" s="2"/>
    </row>
    <row r="109" spans="1:12">
      <c r="A109" s="21" t="s">
        <v>111</v>
      </c>
      <c r="B109" s="18"/>
      <c r="C109" s="19"/>
      <c r="D109" s="18"/>
      <c r="E109" s="19"/>
      <c r="F109" s="19"/>
      <c r="G109" s="18"/>
      <c r="H109" s="20"/>
      <c r="I109" s="2"/>
      <c r="J109" s="2"/>
      <c r="K109" s="2"/>
      <c r="L109" s="2"/>
    </row>
    <row r="110" spans="1:12">
      <c r="A110" s="21" t="s">
        <v>105</v>
      </c>
      <c r="B110" s="18"/>
      <c r="C110" s="18"/>
      <c r="D110" s="18"/>
      <c r="E110" s="18"/>
      <c r="F110" s="19"/>
      <c r="G110" s="18"/>
      <c r="H110" s="20"/>
      <c r="I110" s="2"/>
      <c r="J110" s="2"/>
      <c r="K110" s="2"/>
      <c r="L110" s="2"/>
    </row>
    <row r="111" spans="1:12">
      <c r="A111" s="21" t="s">
        <v>80</v>
      </c>
      <c r="B111" s="18"/>
      <c r="C111" s="18"/>
      <c r="D111" s="18"/>
      <c r="E111" s="18"/>
      <c r="F111" s="20"/>
      <c r="G111" s="20"/>
      <c r="H111" s="20"/>
      <c r="I111" s="2"/>
      <c r="J111" s="2"/>
      <c r="K111" s="2"/>
      <c r="L111" s="2"/>
    </row>
    <row r="112" spans="1:12">
      <c r="A112" s="21" t="s">
        <v>106</v>
      </c>
      <c r="B112" s="18"/>
      <c r="C112" s="18"/>
      <c r="D112" s="18"/>
      <c r="E112" s="18"/>
      <c r="F112" s="18"/>
      <c r="G112" s="20"/>
      <c r="H112" s="20"/>
      <c r="I112" s="2"/>
      <c r="J112" s="2"/>
      <c r="K112" s="2"/>
      <c r="L112" s="2"/>
    </row>
    <row r="113" spans="1:12">
      <c r="A113" s="21" t="s">
        <v>89</v>
      </c>
      <c r="B113" s="18"/>
      <c r="C113" s="18"/>
      <c r="D113" s="18"/>
      <c r="E113" s="18"/>
      <c r="F113" s="18"/>
      <c r="G113" s="18"/>
      <c r="H113" s="20"/>
      <c r="I113" s="2"/>
      <c r="J113" s="2"/>
      <c r="K113" s="2"/>
      <c r="L113" s="2"/>
    </row>
    <row r="114" spans="1:12">
      <c r="A114" s="21" t="s">
        <v>95</v>
      </c>
      <c r="B114" s="18"/>
      <c r="C114" s="18"/>
      <c r="D114" s="18"/>
      <c r="E114" s="18"/>
      <c r="F114" s="18"/>
      <c r="G114" s="18"/>
      <c r="H114" s="20"/>
      <c r="I114" s="2"/>
      <c r="J114" s="2"/>
      <c r="K114" s="2"/>
      <c r="L114" s="2"/>
    </row>
    <row r="115" spans="1:12">
      <c r="A115" s="21" t="s">
        <v>88</v>
      </c>
      <c r="B115" s="18"/>
      <c r="C115" s="18"/>
      <c r="D115" s="18"/>
      <c r="E115" s="18"/>
      <c r="F115" s="18"/>
      <c r="G115" s="18"/>
      <c r="H115" s="20"/>
      <c r="I115" s="2"/>
      <c r="J115" s="2"/>
      <c r="K115" s="2"/>
      <c r="L115" s="2"/>
    </row>
    <row r="116" spans="1:12">
      <c r="A116" s="21" t="s">
        <v>87</v>
      </c>
      <c r="B116" s="18"/>
      <c r="C116" s="18"/>
      <c r="D116" s="18"/>
      <c r="E116" s="18"/>
      <c r="F116" s="18"/>
      <c r="G116" s="18"/>
      <c r="H116" s="20"/>
      <c r="I116" s="2"/>
      <c r="J116" s="2"/>
      <c r="K116" s="2"/>
      <c r="L116" s="2"/>
    </row>
    <row r="117" spans="1:12">
      <c r="A117" s="21" t="s">
        <v>81</v>
      </c>
      <c r="B117" s="18"/>
      <c r="C117" s="18"/>
      <c r="D117" s="18"/>
      <c r="E117" s="18"/>
      <c r="F117" s="18"/>
      <c r="G117" s="18"/>
      <c r="H117" s="20"/>
      <c r="I117" s="2"/>
      <c r="J117" s="2"/>
      <c r="K117" s="2"/>
      <c r="L117" s="2"/>
    </row>
    <row r="118" spans="1:12">
      <c r="A118" s="21" t="s">
        <v>90</v>
      </c>
      <c r="B118" s="18"/>
      <c r="C118" s="18"/>
      <c r="D118" s="18"/>
      <c r="E118" s="18"/>
      <c r="F118" s="18"/>
      <c r="G118" s="18"/>
      <c r="H118" s="20"/>
      <c r="I118" s="2"/>
      <c r="J118" s="2"/>
      <c r="K118" s="2"/>
      <c r="L118" s="2"/>
    </row>
    <row r="119" spans="1:12">
      <c r="A119" s="21" t="s">
        <v>112</v>
      </c>
      <c r="B119" s="18"/>
      <c r="C119" s="18"/>
      <c r="D119" s="18"/>
      <c r="E119" s="18"/>
      <c r="F119" s="18"/>
      <c r="G119" s="18"/>
      <c r="H119" s="20"/>
      <c r="I119" s="2"/>
      <c r="J119" s="2"/>
      <c r="K119" s="2"/>
      <c r="L119" s="2"/>
    </row>
    <row r="120" spans="1:12">
      <c r="A120" s="21" t="s">
        <v>91</v>
      </c>
      <c r="B120" s="18"/>
      <c r="C120" s="18"/>
      <c r="D120" s="18"/>
      <c r="E120" s="18"/>
      <c r="F120" s="18"/>
      <c r="G120" s="18"/>
      <c r="H120" s="20"/>
      <c r="I120" s="2"/>
      <c r="J120" s="2"/>
      <c r="K120" s="2"/>
      <c r="L120" s="2"/>
    </row>
    <row r="121" spans="1:12">
      <c r="A121" s="21" t="s">
        <v>92</v>
      </c>
      <c r="B121" s="18"/>
      <c r="C121" s="18"/>
      <c r="D121" s="18"/>
      <c r="E121" s="18"/>
      <c r="F121" s="18"/>
      <c r="G121" s="18"/>
      <c r="H121" s="20"/>
      <c r="I121" s="2"/>
      <c r="J121" s="2"/>
      <c r="K121" s="2"/>
      <c r="L121" s="2"/>
    </row>
    <row r="122" spans="1:12">
      <c r="A122" s="21" t="s">
        <v>107</v>
      </c>
      <c r="B122" s="18"/>
      <c r="C122" s="18"/>
      <c r="D122" s="18"/>
      <c r="E122" s="18"/>
      <c r="F122" s="18"/>
      <c r="G122" s="18"/>
      <c r="H122" s="22"/>
      <c r="I122" s="11"/>
      <c r="J122" s="11"/>
      <c r="K122" s="11"/>
      <c r="L122" s="11"/>
    </row>
    <row r="123" spans="1:12">
      <c r="A123" s="21"/>
      <c r="B123" s="18"/>
      <c r="C123" s="18"/>
      <c r="D123" s="18"/>
      <c r="E123" s="18"/>
      <c r="F123" s="18"/>
      <c r="G123" s="18"/>
      <c r="H123" s="22"/>
      <c r="I123" s="11"/>
      <c r="J123" s="11"/>
      <c r="K123" s="11"/>
      <c r="L123" s="11"/>
    </row>
    <row r="124" spans="1:12">
      <c r="A124" s="17" t="s">
        <v>82</v>
      </c>
      <c r="B124" s="18"/>
      <c r="C124" s="18"/>
      <c r="D124" s="18"/>
      <c r="E124" s="18"/>
      <c r="F124" s="18"/>
      <c r="G124" s="18"/>
      <c r="H124" s="22"/>
      <c r="I124" s="11"/>
      <c r="J124" s="11"/>
      <c r="K124" s="11"/>
      <c r="L124" s="11"/>
    </row>
    <row r="125" spans="1:12">
      <c r="A125" s="21" t="s">
        <v>83</v>
      </c>
      <c r="B125" s="18"/>
      <c r="C125" s="18"/>
      <c r="D125" s="18"/>
      <c r="E125" s="18"/>
      <c r="F125" s="18"/>
      <c r="G125" s="18"/>
      <c r="H125" s="22"/>
      <c r="I125" s="11"/>
      <c r="J125" s="11"/>
      <c r="K125" s="11"/>
      <c r="L125" s="11"/>
    </row>
    <row r="126" spans="1:12">
      <c r="A126" s="21" t="s">
        <v>113</v>
      </c>
      <c r="B126" s="18"/>
      <c r="C126" s="18"/>
      <c r="D126" s="18"/>
      <c r="E126" s="18"/>
      <c r="F126" s="18"/>
      <c r="G126" s="18"/>
      <c r="H126" s="22"/>
      <c r="I126" s="11"/>
      <c r="J126" s="11"/>
      <c r="K126" s="11"/>
      <c r="L126" s="11"/>
    </row>
    <row r="127" spans="1:12">
      <c r="A127" s="21" t="s">
        <v>114</v>
      </c>
      <c r="B127" s="18"/>
      <c r="C127" s="18"/>
      <c r="D127" s="18"/>
      <c r="E127" s="18"/>
      <c r="F127" s="18"/>
      <c r="G127" s="18"/>
      <c r="H127" s="22"/>
      <c r="I127" s="11"/>
      <c r="J127" s="11"/>
      <c r="K127" s="11"/>
      <c r="L127" s="11"/>
    </row>
    <row r="128" spans="1:12">
      <c r="A128" s="21" t="s">
        <v>99</v>
      </c>
      <c r="B128" s="18"/>
      <c r="C128" s="18"/>
      <c r="D128" s="18"/>
      <c r="E128" s="18"/>
      <c r="F128" s="18"/>
      <c r="G128" s="18"/>
      <c r="H128" s="22"/>
      <c r="I128" s="11"/>
      <c r="J128" s="11"/>
      <c r="K128" s="11"/>
      <c r="L128" s="11"/>
    </row>
    <row r="444" spans="2:2">
      <c r="B444" s="10" t="s">
        <v>108</v>
      </c>
    </row>
  </sheetData>
  <mergeCells count="44">
    <mergeCell ref="H100:J100"/>
    <mergeCell ref="E7:F7"/>
    <mergeCell ref="G7:H7"/>
    <mergeCell ref="A82:B82"/>
    <mergeCell ref="H101:J101"/>
    <mergeCell ref="H92:J92"/>
    <mergeCell ref="H94:J94"/>
    <mergeCell ref="B86:L86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H99:J99"/>
    <mergeCell ref="C82:L82"/>
    <mergeCell ref="H95:J95"/>
    <mergeCell ref="H96:J96"/>
    <mergeCell ref="H97:J97"/>
    <mergeCell ref="H98:J98"/>
    <mergeCell ref="B84:L84"/>
    <mergeCell ref="C89:D89"/>
    <mergeCell ref="E89:F89"/>
    <mergeCell ref="H89:J89"/>
    <mergeCell ref="H93:J93"/>
    <mergeCell ref="H91:J91"/>
    <mergeCell ref="H90:J90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2026-09-28T08:29:27Z</cp:lastPrinted>
  <dcterms:created xsi:type="dcterms:W3CDTF">2021-06-05T07:13:00Z</dcterms:created>
  <dcterms:modified xsi:type="dcterms:W3CDTF">2026-09-29T08:03:47Z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